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ja diaria" sheetId="1" r:id="rId5"/>
    <sheet state="hidden" name="Egresos" sheetId="2" r:id="rId6"/>
    <sheet state="visible" name="Egresos_V2" sheetId="3" r:id="rId7"/>
    <sheet state="visible" name="Sueldos" sheetId="4" r:id="rId8"/>
    <sheet state="hidden" name="Caja" sheetId="5" r:id="rId9"/>
    <sheet state="visible" name="Caja_V2" sheetId="6" r:id="rId10"/>
    <sheet state="visible" name="Proveedores" sheetId="7" r:id="rId11"/>
    <sheet state="visible" name="Bacha_V2" sheetId="8" r:id="rId12"/>
  </sheets>
  <definedNames>
    <definedName hidden="1" localSheetId="1" name="_xlnm._FilterDatabase">Egresos!$A$6:$D$301</definedName>
    <definedName hidden="1" localSheetId="2" name="_xlnm._FilterDatabase">Egresos_V2!$A$1:$E$235</definedName>
  </definedNames>
  <calcPr/>
</workbook>
</file>

<file path=xl/sharedStrings.xml><?xml version="1.0" encoding="utf-8"?>
<sst xmlns="http://schemas.openxmlformats.org/spreadsheetml/2006/main" count="1285" uniqueCount="254">
  <si>
    <t>ENERO</t>
  </si>
  <si>
    <t>Fecha</t>
  </si>
  <si>
    <t>Turno</t>
  </si>
  <si>
    <t>Efectivo</t>
  </si>
  <si>
    <t>Posnet</t>
  </si>
  <si>
    <t>Transferencias</t>
  </si>
  <si>
    <t>PedidosYa</t>
  </si>
  <si>
    <t>Gastos</t>
  </si>
  <si>
    <t>Inicio de caja</t>
  </si>
  <si>
    <t>Total por turno</t>
  </si>
  <si>
    <t>Total diario</t>
  </si>
  <si>
    <t>Total semanal</t>
  </si>
  <si>
    <t>Día</t>
  </si>
  <si>
    <t>Noche</t>
  </si>
  <si>
    <t>Sábado 4/1 cierre de semana</t>
  </si>
  <si>
    <t>Sábado 11/1 cierre de semana</t>
  </si>
  <si>
    <t>Sábado 18/1 cierre de semana</t>
  </si>
  <si>
    <t>Sábado 25/1 cierre de semana</t>
  </si>
  <si>
    <t>Sábado 1/2 cierre de semana</t>
  </si>
  <si>
    <t>Cierre mes enero</t>
  </si>
  <si>
    <t>CORONADOS</t>
  </si>
  <si>
    <t>Proveedor</t>
  </si>
  <si>
    <t>Número de factura</t>
  </si>
  <si>
    <t>Monto</t>
  </si>
  <si>
    <t>Medio de pago</t>
  </si>
  <si>
    <t>San Francisco</t>
  </si>
  <si>
    <t>670</t>
  </si>
  <si>
    <t>Transferencia</t>
  </si>
  <si>
    <t>El Mercedino</t>
  </si>
  <si>
    <t>070/071</t>
  </si>
  <si>
    <t>Los gringos</t>
  </si>
  <si>
    <t>Papas</t>
  </si>
  <si>
    <t>086</t>
  </si>
  <si>
    <t>La Paulina</t>
  </si>
  <si>
    <t>687</t>
  </si>
  <si>
    <t>Otros</t>
  </si>
  <si>
    <t>"CREMA" almacén</t>
  </si>
  <si>
    <t>Sueldos tarde</t>
  </si>
  <si>
    <t>Sueldos noche</t>
  </si>
  <si>
    <t>088</t>
  </si>
  <si>
    <t>Frigorífico 90</t>
  </si>
  <si>
    <t>479</t>
  </si>
  <si>
    <t>Star</t>
  </si>
  <si>
    <t>598</t>
  </si>
  <si>
    <t>097</t>
  </si>
  <si>
    <t>Detergente</t>
  </si>
  <si>
    <t>Alfajores</t>
  </si>
  <si>
    <t>Huevos</t>
  </si>
  <si>
    <t>Atún</t>
  </si>
  <si>
    <t>206</t>
  </si>
  <si>
    <t>Discomar</t>
  </si>
  <si>
    <t>017</t>
  </si>
  <si>
    <t>Malena</t>
  </si>
  <si>
    <t>312</t>
  </si>
  <si>
    <t>108</t>
  </si>
  <si>
    <t>DEM</t>
  </si>
  <si>
    <t>925</t>
  </si>
  <si>
    <t>825</t>
  </si>
  <si>
    <t>865</t>
  </si>
  <si>
    <t>Unifrío</t>
  </si>
  <si>
    <t>014</t>
  </si>
  <si>
    <t>Teclado + mouse</t>
  </si>
  <si>
    <t>Helados</t>
  </si>
  <si>
    <t>515</t>
  </si>
  <si>
    <t>139</t>
  </si>
  <si>
    <t>193</t>
  </si>
  <si>
    <t>274</t>
  </si>
  <si>
    <t>957</t>
  </si>
  <si>
    <t>Papelera atlántica</t>
  </si>
  <si>
    <t>119</t>
  </si>
  <si>
    <t>149</t>
  </si>
  <si>
    <t>Rincón vegetariano</t>
  </si>
  <si>
    <t>172</t>
  </si>
  <si>
    <t>Mariana</t>
  </si>
  <si>
    <t>Sueldo</t>
  </si>
  <si>
    <t>Yerba y Café</t>
  </si>
  <si>
    <t>334</t>
  </si>
  <si>
    <t>219</t>
  </si>
  <si>
    <t>Alfajores de maicena</t>
  </si>
  <si>
    <t>560</t>
  </si>
  <si>
    <t>Chavela</t>
  </si>
  <si>
    <t>351</t>
  </si>
  <si>
    <t>Lg</t>
  </si>
  <si>
    <t>037</t>
  </si>
  <si>
    <t>183</t>
  </si>
  <si>
    <t>768</t>
  </si>
  <si>
    <t>407</t>
  </si>
  <si>
    <t>500</t>
  </si>
  <si>
    <t>181</t>
  </si>
  <si>
    <t>168</t>
  </si>
  <si>
    <t>315</t>
  </si>
  <si>
    <t>Papelera Juanchi</t>
  </si>
  <si>
    <t>362</t>
  </si>
  <si>
    <t>tpg</t>
  </si>
  <si>
    <t>614</t>
  </si>
  <si>
    <t>Sueldo Thiago</t>
  </si>
  <si>
    <t>Sarah</t>
  </si>
  <si>
    <t>164</t>
  </si>
  <si>
    <t>221</t>
  </si>
  <si>
    <t>754</t>
  </si>
  <si>
    <t>005</t>
  </si>
  <si>
    <t>914</t>
  </si>
  <si>
    <t>234</t>
  </si>
  <si>
    <t>Claro - 437</t>
  </si>
  <si>
    <t>204</t>
  </si>
  <si>
    <t>224</t>
  </si>
  <si>
    <t>Latinoamérica</t>
  </si>
  <si>
    <t>759</t>
  </si>
  <si>
    <t>716</t>
  </si>
  <si>
    <t>437</t>
  </si>
  <si>
    <t>490</t>
  </si>
  <si>
    <t>503</t>
  </si>
  <si>
    <t>241</t>
  </si>
  <si>
    <t>300</t>
  </si>
  <si>
    <t>Marcos</t>
  </si>
  <si>
    <t>740</t>
  </si>
  <si>
    <t>521</t>
  </si>
  <si>
    <t>María Botto</t>
  </si>
  <si>
    <t>848/027</t>
  </si>
  <si>
    <t>732</t>
  </si>
  <si>
    <t>904</t>
  </si>
  <si>
    <t>309</t>
  </si>
  <si>
    <t>900</t>
  </si>
  <si>
    <t>613</t>
  </si>
  <si>
    <t>328</t>
  </si>
  <si>
    <t>Vanesa budines</t>
  </si>
  <si>
    <t>489</t>
  </si>
  <si>
    <t>Mateo</t>
  </si>
  <si>
    <t>955</t>
  </si>
  <si>
    <t>345</t>
  </si>
  <si>
    <t>310</t>
  </si>
  <si>
    <t>304</t>
  </si>
  <si>
    <t>311</t>
  </si>
  <si>
    <t>713</t>
  </si>
  <si>
    <t>238</t>
  </si>
  <si>
    <t>962</t>
  </si>
  <si>
    <t>308</t>
  </si>
  <si>
    <t>381</t>
  </si>
  <si>
    <t>958</t>
  </si>
  <si>
    <t>123</t>
  </si>
  <si>
    <t>429</t>
  </si>
  <si>
    <t>049</t>
  </si>
  <si>
    <t>372</t>
  </si>
  <si>
    <t>325</t>
  </si>
  <si>
    <t>555</t>
  </si>
  <si>
    <t>875</t>
  </si>
  <si>
    <t>924</t>
  </si>
  <si>
    <t>138</t>
  </si>
  <si>
    <t>244</t>
  </si>
  <si>
    <t>160</t>
  </si>
  <si>
    <t>339</t>
  </si>
  <si>
    <t>Pepsi</t>
  </si>
  <si>
    <t>129</t>
  </si>
  <si>
    <t>126</t>
  </si>
  <si>
    <t>125</t>
  </si>
  <si>
    <t>356</t>
  </si>
  <si>
    <t>433</t>
  </si>
  <si>
    <t>320</t>
  </si>
  <si>
    <t>los gringos</t>
  </si>
  <si>
    <t>459</t>
  </si>
  <si>
    <t>146</t>
  </si>
  <si>
    <t>384</t>
  </si>
  <si>
    <t>Aceite</t>
  </si>
  <si>
    <t>226</t>
  </si>
  <si>
    <t>307</t>
  </si>
  <si>
    <t>157</t>
  </si>
  <si>
    <t>478</t>
  </si>
  <si>
    <t>Cumple de Paloma</t>
  </si>
  <si>
    <t>176</t>
  </si>
  <si>
    <t>Ciageser</t>
  </si>
  <si>
    <t>344</t>
  </si>
  <si>
    <t>541</t>
  </si>
  <si>
    <t>Malfatti</t>
  </si>
  <si>
    <t>464</t>
  </si>
  <si>
    <t>422</t>
  </si>
  <si>
    <t>570</t>
  </si>
  <si>
    <t>618</t>
  </si>
  <si>
    <t>520</t>
  </si>
  <si>
    <t>710/416</t>
  </si>
  <si>
    <t>Hay un error en las celdas y no me deja filtrar, por ende pasé todos los movimientos a la pestaña siguientes "Egresos_V2"</t>
  </si>
  <si>
    <t>Papelera</t>
  </si>
  <si>
    <t>Yaz</t>
  </si>
  <si>
    <t>Sanitrol - 456</t>
  </si>
  <si>
    <t>794/890</t>
  </si>
  <si>
    <t>Cerveza</t>
  </si>
  <si>
    <t>077/131</t>
  </si>
  <si>
    <t>183/952</t>
  </si>
  <si>
    <t>Empleado</t>
  </si>
  <si>
    <t>Victoria</t>
  </si>
  <si>
    <t>Paloma</t>
  </si>
  <si>
    <t>Julieta</t>
  </si>
  <si>
    <t>Gisela</t>
  </si>
  <si>
    <t>Amorela</t>
  </si>
  <si>
    <t>Ryan</t>
  </si>
  <si>
    <t>Pablo</t>
  </si>
  <si>
    <t>-</t>
  </si>
  <si>
    <t>Maru</t>
  </si>
  <si>
    <t>Nacho</t>
  </si>
  <si>
    <t>Sofía</t>
  </si>
  <si>
    <t>Thiago</t>
  </si>
  <si>
    <t>Mía</t>
  </si>
  <si>
    <t>TOTAL POR TURNO</t>
  </si>
  <si>
    <t>Yazmín</t>
  </si>
  <si>
    <t>transferencia</t>
  </si>
  <si>
    <t>Gabriel</t>
  </si>
  <si>
    <t>de mi caja 4700</t>
  </si>
  <si>
    <t>Mark</t>
  </si>
  <si>
    <t>de mi caja 600</t>
  </si>
  <si>
    <t xml:space="preserve">de bacha </t>
  </si>
  <si>
    <t>Laura</t>
  </si>
  <si>
    <t>totalidad</t>
  </si>
  <si>
    <t>Micaela</t>
  </si>
  <si>
    <t>Candela</t>
  </si>
  <si>
    <t>de mi caja 1800</t>
  </si>
  <si>
    <t xml:space="preserve">Fecha: </t>
  </si>
  <si>
    <t>Transf.</t>
  </si>
  <si>
    <t>Sueldos</t>
  </si>
  <si>
    <t>Turno mañana</t>
  </si>
  <si>
    <t>Z:</t>
  </si>
  <si>
    <t>Total</t>
  </si>
  <si>
    <t>PY Eft</t>
  </si>
  <si>
    <t>PY Online</t>
  </si>
  <si>
    <t>Motivo</t>
  </si>
  <si>
    <t>Efectivo en caja</t>
  </si>
  <si>
    <t>Efectivo vendido</t>
  </si>
  <si>
    <t>Efectivo PY</t>
  </si>
  <si>
    <t>Efectivo en bacha</t>
  </si>
  <si>
    <t>PedidosYa Onl</t>
  </si>
  <si>
    <t>N° de boleta</t>
  </si>
  <si>
    <t>Firma</t>
  </si>
  <si>
    <t>Inicio</t>
  </si>
  <si>
    <t>Agrega Vito</t>
  </si>
  <si>
    <t>Saca Vito</t>
  </si>
  <si>
    <t>Agrega Lucía</t>
  </si>
  <si>
    <t>Saca Lucía</t>
  </si>
  <si>
    <t>Agrega Laura</t>
  </si>
  <si>
    <t>Saca Laura</t>
  </si>
  <si>
    <t>Diferencias</t>
  </si>
  <si>
    <t>Queda</t>
  </si>
  <si>
    <t>Pasa al parlante</t>
  </si>
  <si>
    <t>Los 13800 los resto para que me coincida con lo que Vito se encuentra a la mañana</t>
  </si>
  <si>
    <t xml:space="preserve">Los 570 los sumo para que coincida con lo que Vito deja, que ese cambio lo pasa a la caja del parlante y deja en la bacha 860.000 </t>
  </si>
  <si>
    <t>Los 462680 en rojo es porque no sé si los sacó Laura o los sacó Lucía, pero los tengo que restar para que coincida con el inicio de bacha del día 16/1</t>
  </si>
  <si>
    <t>No sé si fue lo que agregó ella o lo que dejó en total</t>
  </si>
  <si>
    <t>Queda turno mañana</t>
  </si>
  <si>
    <t>Parlante turno mañana</t>
  </si>
  <si>
    <t>Queda turno noche</t>
  </si>
  <si>
    <t>Debieron haber quedado 22.000, que es la resta del inicio con lo que sacó para proveedores. Tiene 10 de más. Luego cuando Lau llegó, encontró que habían en total 69.880</t>
  </si>
  <si>
    <t>De 508.420 que debieron haber quedado en la bacha, quedaron 209.420, es decir 1.000 de más.</t>
  </si>
  <si>
    <t>Inicio del turno mañana</t>
  </si>
  <si>
    <t>Queda del turno mañana</t>
  </si>
  <si>
    <t>Inicio del turno noche</t>
  </si>
  <si>
    <t>Saca Laura o Lu</t>
  </si>
  <si>
    <t>Queda del turno noche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</si>
</sst>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/MM/yyyy"/>
  </numFmts>
  <fonts count="15">
    <font>
      <sz val="10.0"/>
      <color rgb="FF000000"/>
      <name val="Arial"/>
      <scheme val="minor"/>
    </font>
    <font>
      <sz val="30.0"/>
      <color rgb="FF00CBCB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sz val="14.0"/>
      <color theme="1"/>
      <name val="Arial"/>
    </font>
    <font>
      <b/>
      <sz val="12.0"/>
      <color theme="1"/>
      <name val="Arial"/>
      <scheme val="minor"/>
    </font>
    <font>
      <sz val="15.0"/>
      <color rgb="FFFFFFFF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CBCB"/>
      </left>
      <top style="thin">
        <color rgb="FF00CBCB"/>
      </top>
    </border>
    <border>
      <top style="thin">
        <color rgb="FF00CBCB"/>
      </top>
    </border>
    <border>
      <left style="thin">
        <color rgb="FF00CBCB"/>
      </left>
    </border>
    <border>
      <left style="thin">
        <color rgb="FF00CBCB"/>
      </left>
      <bottom style="thin">
        <color rgb="FF00CBCB"/>
      </bottom>
    </border>
    <border>
      <bottom style="thin">
        <color rgb="FF00CBC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/>
    </xf>
    <xf borderId="6" fillId="4" fontId="4" numFmtId="164" xfId="0" applyAlignment="1" applyBorder="1" applyFill="1" applyFont="1" applyNumberFormat="1">
      <alignment readingOrder="0"/>
    </xf>
    <xf borderId="6" fillId="4" fontId="4" numFmtId="4" xfId="0" applyAlignment="1" applyBorder="1" applyFont="1" applyNumberFormat="1">
      <alignment readingOrder="0"/>
    </xf>
    <xf borderId="6" fillId="4" fontId="4" numFmtId="4" xfId="0" applyBorder="1" applyFont="1" applyNumberFormat="1"/>
    <xf borderId="6" fillId="0" fontId="4" numFmtId="164" xfId="0" applyAlignment="1" applyBorder="1" applyFont="1" applyNumberFormat="1">
      <alignment readingOrder="0"/>
    </xf>
    <xf borderId="6" fillId="0" fontId="4" numFmtId="4" xfId="0" applyAlignment="1" applyBorder="1" applyFont="1" applyNumberFormat="1">
      <alignment readingOrder="0"/>
    </xf>
    <xf borderId="6" fillId="5" fontId="4" numFmtId="4" xfId="0" applyBorder="1" applyFill="1" applyFont="1" applyNumberFormat="1"/>
    <xf borderId="6" fillId="0" fontId="4" numFmtId="4" xfId="0" applyBorder="1" applyFont="1" applyNumberFormat="1"/>
    <xf borderId="7" fillId="6" fontId="3" numFmtId="0" xfId="0" applyAlignment="1" applyBorder="1" applyFill="1" applyFont="1">
      <alignment horizontal="right" readingOrder="0"/>
    </xf>
    <xf borderId="8" fillId="0" fontId="2" numFmtId="0" xfId="0" applyBorder="1" applyFont="1"/>
    <xf borderId="9" fillId="0" fontId="2" numFmtId="0" xfId="0" applyBorder="1" applyFont="1"/>
    <xf borderId="6" fillId="6" fontId="3" numFmtId="4" xfId="0" applyBorder="1" applyFont="1" applyNumberFormat="1"/>
    <xf borderId="0" fillId="6" fontId="4" numFmtId="0" xfId="0" applyFont="1"/>
    <xf borderId="0" fillId="7" fontId="4" numFmtId="0" xfId="0" applyAlignment="1" applyFill="1" applyFont="1">
      <alignment horizontal="right" readingOrder="0"/>
    </xf>
    <xf borderId="0" fillId="0" fontId="4" numFmtId="4" xfId="0" applyFont="1" applyNumberFormat="1"/>
    <xf borderId="0" fillId="0" fontId="4" numFmtId="165" xfId="0" applyAlignment="1" applyFont="1" applyNumberFormat="1">
      <alignment vertical="center"/>
    </xf>
    <xf borderId="0" fillId="0" fontId="4" numFmtId="0" xfId="0" applyAlignment="1" applyFont="1">
      <alignment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6" fillId="4" fontId="4" numFmtId="165" xfId="0" applyAlignment="1" applyBorder="1" applyFont="1" applyNumberForma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6" fillId="0" fontId="4" numFmtId="165" xfId="0" applyAlignment="1" applyBorder="1" applyFont="1" applyNumberFormat="1">
      <alignment readingOrder="0" vertical="center"/>
    </xf>
    <xf borderId="6" fillId="0" fontId="4" numFmtId="0" xfId="0" applyAlignment="1" applyBorder="1" applyFont="1">
      <alignment readingOrder="0" vertical="center"/>
    </xf>
    <xf borderId="6" fillId="0" fontId="4" numFmtId="4" xfId="0" applyAlignment="1" applyBorder="1" applyFont="1" applyNumberFormat="1">
      <alignment readingOrder="0" vertical="center"/>
    </xf>
    <xf borderId="6" fillId="0" fontId="4" numFmtId="0" xfId="0" applyAlignment="1" applyBorder="1" applyFont="1">
      <alignment horizontal="center" vertical="center"/>
    </xf>
    <xf borderId="15" fillId="0" fontId="4" numFmtId="165" xfId="0" applyAlignment="1" applyBorder="1" applyFont="1" applyNumberFormat="1">
      <alignment readingOrder="0" vertical="center"/>
    </xf>
    <xf borderId="15" fillId="0" fontId="4" numFmtId="0" xfId="0" applyAlignment="1" applyBorder="1" applyFont="1">
      <alignment readingOrder="0" vertical="center"/>
    </xf>
    <xf borderId="15" fillId="0" fontId="4" numFmtId="4" xfId="0" applyAlignment="1" applyBorder="1" applyFont="1" applyNumberFormat="1">
      <alignment readingOrder="0" vertical="center"/>
    </xf>
    <xf borderId="15" fillId="0" fontId="4" numFmtId="0" xfId="0" applyAlignment="1" applyBorder="1" applyFont="1">
      <alignment horizontal="center" readingOrder="0" vertical="center"/>
    </xf>
    <xf borderId="6" fillId="8" fontId="4" numFmtId="4" xfId="0" applyAlignment="1" applyBorder="1" applyFill="1" applyFont="1" applyNumberFormat="1">
      <alignment readingOrder="0" vertical="center"/>
    </xf>
    <xf borderId="6" fillId="8" fontId="4" numFmtId="0" xfId="0" applyAlignment="1" applyBorder="1" applyFont="1">
      <alignment horizontal="center" readingOrder="0" vertical="center"/>
    </xf>
    <xf borderId="0" fillId="9" fontId="3" numFmtId="0" xfId="0" applyAlignment="1" applyFill="1" applyFont="1">
      <alignment readingOrder="0" shrinkToFit="0" vertical="center" wrapText="1"/>
    </xf>
    <xf borderId="16" fillId="0" fontId="4" numFmtId="165" xfId="0" applyAlignment="1" applyBorder="1" applyFont="1" applyNumberFormat="1">
      <alignment readingOrder="0" vertical="center"/>
    </xf>
    <xf borderId="16" fillId="0" fontId="4" numFmtId="0" xfId="0" applyAlignment="1" applyBorder="1" applyFont="1">
      <alignment readingOrder="0" vertical="center"/>
    </xf>
    <xf borderId="16" fillId="10" fontId="4" numFmtId="4" xfId="0" applyAlignment="1" applyBorder="1" applyFill="1" applyFont="1" applyNumberFormat="1">
      <alignment readingOrder="0" vertical="center"/>
    </xf>
    <xf borderId="16" fillId="10" fontId="4" numFmtId="0" xfId="0" applyAlignment="1" applyBorder="1" applyFont="1">
      <alignment horizontal="center" readingOrder="0" vertical="center"/>
    </xf>
    <xf borderId="6" fillId="11" fontId="4" numFmtId="4" xfId="0" applyAlignment="1" applyBorder="1" applyFill="1" applyFont="1" applyNumberFormat="1">
      <alignment readingOrder="0" vertical="center"/>
    </xf>
    <xf borderId="6" fillId="11" fontId="4" numFmtId="0" xfId="0" applyAlignment="1" applyBorder="1" applyFont="1">
      <alignment horizontal="center" readingOrder="0" vertical="center"/>
    </xf>
    <xf borderId="6" fillId="10" fontId="4" numFmtId="4" xfId="0" applyAlignment="1" applyBorder="1" applyFont="1" applyNumberFormat="1">
      <alignment readingOrder="0" vertical="center"/>
    </xf>
    <xf borderId="6" fillId="10" fontId="4" numFmtId="0" xfId="0" applyAlignment="1" applyBorder="1" applyFont="1">
      <alignment horizontal="center" readingOrder="0" vertical="center"/>
    </xf>
    <xf borderId="6" fillId="10" fontId="4" numFmtId="0" xfId="0" applyAlignment="1" applyBorder="1" applyFont="1">
      <alignment horizontal="center" readingOrder="0" vertical="center"/>
    </xf>
    <xf borderId="6" fillId="11" fontId="4" numFmtId="0" xfId="0" applyAlignment="1" applyBorder="1" applyFont="1">
      <alignment horizontal="center" readingOrder="0" vertical="center"/>
    </xf>
    <xf borderId="6" fillId="4" fontId="5" numFmtId="165" xfId="0" applyAlignment="1" applyBorder="1" applyFont="1" applyNumberForma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left" readingOrder="0" vertical="center"/>
    </xf>
    <xf borderId="6" fillId="4" fontId="6" numFmtId="0" xfId="0" applyAlignment="1" applyBorder="1" applyFont="1">
      <alignment horizontal="center" readingOrder="0" vertical="center"/>
    </xf>
    <xf borderId="0" fillId="0" fontId="5" numFmtId="0" xfId="0" applyFont="1"/>
    <xf borderId="6" fillId="0" fontId="5" numFmtId="165" xfId="0" applyAlignment="1" applyBorder="1" applyFont="1" applyNumberFormat="1">
      <alignment readingOrder="0" vertical="center"/>
    </xf>
    <xf borderId="6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horizontal="left" readingOrder="0" vertical="center"/>
    </xf>
    <xf borderId="6" fillId="0" fontId="5" numFmtId="4" xfId="0" applyAlignment="1" applyBorder="1" applyFont="1" applyNumberFormat="1">
      <alignment readingOrder="0" vertical="center"/>
    </xf>
    <xf borderId="6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/>
    </xf>
    <xf borderId="6" fillId="0" fontId="7" numFmtId="0" xfId="0" applyAlignment="1" applyBorder="1" applyFont="1">
      <alignment horizontal="center" vertical="bottom"/>
    </xf>
    <xf borderId="6" fillId="0" fontId="7" numFmtId="164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7" numFmtId="164" xfId="0" applyAlignment="1" applyBorder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4" xfId="0" applyAlignment="1" applyBorder="1" applyFont="1" applyNumberFormat="1">
      <alignment horizontal="right" readingOrder="0" vertical="bottom"/>
    </xf>
    <xf borderId="15" fillId="0" fontId="8" numFmtId="0" xfId="0" applyAlignment="1" applyBorder="1" applyFont="1">
      <alignment vertical="bottom"/>
    </xf>
    <xf borderId="6" fillId="0" fontId="8" numFmtId="4" xfId="0" applyAlignment="1" applyBorder="1" applyFont="1" applyNumberFormat="1">
      <alignment horizontal="right" vertical="bottom"/>
    </xf>
    <xf borderId="6" fillId="0" fontId="8" numFmtId="4" xfId="0" applyAlignment="1" applyBorder="1" applyFont="1" applyNumberFormat="1">
      <alignment readingOrder="0" vertical="bottom"/>
    </xf>
    <xf borderId="6" fillId="0" fontId="8" numFmtId="4" xfId="0" applyAlignment="1" applyBorder="1" applyFont="1" applyNumberFormat="1">
      <alignment horizontal="center" vertical="bottom"/>
    </xf>
    <xf borderId="16" fillId="0" fontId="7" numFmtId="4" xfId="0" applyAlignment="1" applyBorder="1" applyFont="1" applyNumberFormat="1">
      <alignment horizontal="center" vertical="bottom"/>
    </xf>
    <xf borderId="6" fillId="0" fontId="7" numFmtId="4" xfId="0" applyAlignment="1" applyBorder="1" applyFont="1" applyNumberFormat="1">
      <alignment horizontal="center" vertical="bottom"/>
    </xf>
    <xf borderId="17" fillId="0" fontId="2" numFmtId="0" xfId="0" applyBorder="1" applyFont="1"/>
    <xf borderId="6" fillId="0" fontId="8" numFmtId="4" xfId="0" applyAlignment="1" applyBorder="1" applyFont="1" applyNumberFormat="1">
      <alignment vertical="bottom"/>
    </xf>
    <xf borderId="16" fillId="0" fontId="8" numFmtId="4" xfId="0" applyAlignment="1" applyBorder="1" applyFont="1" applyNumberFormat="1">
      <alignment vertical="bottom"/>
    </xf>
    <xf borderId="18" fillId="0" fontId="4" numFmtId="0" xfId="0" applyBorder="1" applyFont="1"/>
    <xf borderId="6" fillId="0" fontId="8" numFmtId="0" xfId="0" applyAlignment="1" applyBorder="1" applyFont="1">
      <alignment readingOrder="0" vertical="bottom"/>
    </xf>
    <xf borderId="16" fillId="0" fontId="2" numFmtId="0" xfId="0" applyBorder="1" applyFont="1"/>
    <xf borderId="6" fillId="0" fontId="8" numFmtId="0" xfId="0" applyAlignment="1" applyBorder="1" applyFont="1">
      <alignment vertical="bottom"/>
    </xf>
    <xf borderId="6" fillId="12" fontId="8" numFmtId="4" xfId="0" applyAlignment="1" applyBorder="1" applyFill="1" applyFont="1" applyNumberFormat="1">
      <alignment horizontal="right" vertical="bottom"/>
    </xf>
    <xf borderId="6" fillId="12" fontId="8" numFmtId="4" xfId="0" applyAlignment="1" applyBorder="1" applyFont="1" applyNumberFormat="1">
      <alignment horizontal="center" vertical="bottom"/>
    </xf>
    <xf borderId="16" fillId="12" fontId="7" numFmtId="4" xfId="0" applyAlignment="1" applyBorder="1" applyFont="1" applyNumberFormat="1">
      <alignment horizontal="center" vertical="bottom"/>
    </xf>
    <xf borderId="6" fillId="12" fontId="7" numFmtId="4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16" fillId="0" fontId="9" numFmtId="4" xfId="0" applyAlignment="1" applyBorder="1" applyFont="1" applyNumberFormat="1">
      <alignment horizontal="center" vertical="bottom"/>
    </xf>
    <xf borderId="0" fillId="0" fontId="9" numFmtId="3" xfId="0" applyAlignment="1" applyFont="1" applyNumberFormat="1">
      <alignment horizontal="center" vertical="bottom"/>
    </xf>
    <xf borderId="16" fillId="0" fontId="10" numFmtId="4" xfId="0" applyAlignment="1" applyBorder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6" fillId="0" fontId="4" numFmtId="0" xfId="0" applyBorder="1" applyFont="1"/>
    <xf borderId="7" fillId="13" fontId="7" numFmtId="4" xfId="0" applyAlignment="1" applyBorder="1" applyFill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7" fillId="0" fontId="6" numFmtId="0" xfId="0" applyAlignment="1" applyBorder="1" applyFont="1">
      <alignment horizontal="center" readingOrder="0" shrinkToFit="0" vertical="bottom" wrapText="1"/>
    </xf>
    <xf borderId="15" fillId="0" fontId="6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readingOrder="0"/>
    </xf>
    <xf borderId="6" fillId="3" fontId="5" numFmtId="0" xfId="0" applyBorder="1" applyFont="1"/>
    <xf borderId="6" fillId="0" fontId="5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7" fillId="0" fontId="6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vertical="bottom"/>
    </xf>
    <xf borderId="7" fillId="0" fontId="10" numFmtId="0" xfId="0" applyAlignment="1" applyBorder="1" applyFont="1">
      <alignment horizontal="center" shrinkToFit="0" wrapText="1"/>
    </xf>
    <xf borderId="1" fillId="3" fontId="12" numFmtId="0" xfId="0" applyAlignment="1" applyBorder="1" applyFont="1">
      <alignment horizontal="center"/>
    </xf>
    <xf borderId="19" fillId="0" fontId="2" numFmtId="0" xfId="0" applyBorder="1" applyFont="1"/>
    <xf borderId="1" fillId="0" fontId="12" numFmtId="0" xfId="0" applyAlignment="1" applyBorder="1" applyFont="1">
      <alignment horizontal="center"/>
    </xf>
    <xf borderId="15" fillId="3" fontId="12" numFmtId="0" xfId="0" applyAlignment="1" applyBorder="1" applyFont="1">
      <alignment horizontal="center"/>
    </xf>
    <xf borderId="0" fillId="0" fontId="12" numFmtId="0" xfId="0" applyFont="1"/>
    <xf borderId="7" fillId="0" fontId="12" numFmtId="4" xfId="0" applyBorder="1" applyFont="1" applyNumberFormat="1"/>
    <xf borderId="6" fillId="3" fontId="12" numFmtId="4" xfId="0" applyAlignment="1" applyBorder="1" applyFont="1" applyNumberFormat="1">
      <alignment vertical="bottom"/>
    </xf>
    <xf borderId="7" fillId="3" fontId="12" numFmtId="4" xfId="0" applyAlignment="1" applyBorder="1" applyFont="1" applyNumberFormat="1">
      <alignment vertical="bottom"/>
    </xf>
    <xf borderId="6" fillId="0" fontId="12" numFmtId="4" xfId="0" applyAlignment="1" applyBorder="1" applyFont="1" applyNumberFormat="1">
      <alignment vertical="bottom"/>
    </xf>
    <xf borderId="7" fillId="0" fontId="12" numFmtId="4" xfId="0" applyAlignment="1" applyBorder="1" applyFont="1" applyNumberFormat="1">
      <alignment vertical="bottom"/>
    </xf>
    <xf borderId="9" fillId="0" fontId="12" numFmtId="4" xfId="0" applyAlignment="1" applyBorder="1" applyFont="1" applyNumberFormat="1">
      <alignment vertical="bottom"/>
    </xf>
    <xf borderId="6" fillId="0" fontId="12" numFmtId="0" xfId="0" applyAlignment="1" applyBorder="1" applyFont="1">
      <alignment vertical="bottom"/>
    </xf>
    <xf borderId="1" fillId="0" fontId="12" numFmtId="0" xfId="0" applyBorder="1" applyFont="1"/>
    <xf borderId="6" fillId="3" fontId="12" numFmtId="0" xfId="0" applyAlignment="1" applyBorder="1" applyFont="1">
      <alignment vertical="bottom"/>
    </xf>
    <xf borderId="20" fillId="0" fontId="2" numFmtId="0" xfId="0" applyBorder="1" applyFont="1"/>
    <xf borderId="7" fillId="0" fontId="12" numFmtId="0" xfId="0" applyAlignment="1" applyBorder="1" applyFont="1">
      <alignment vertical="bottom"/>
    </xf>
    <xf borderId="6" fillId="0" fontId="10" numFmtId="0" xfId="0" applyAlignment="1" applyBorder="1" applyFont="1">
      <alignment horizontal="center" shrinkToFit="0" wrapText="1"/>
    </xf>
    <xf borderId="6" fillId="0" fontId="12" numFmtId="0" xfId="0" applyBorder="1" applyFont="1"/>
    <xf borderId="0" fillId="0" fontId="12" numFmtId="4" xfId="0" applyAlignment="1" applyFont="1" applyNumberFormat="1">
      <alignment vertical="bottom"/>
    </xf>
    <xf borderId="15" fillId="0" fontId="10" numFmtId="0" xfId="0" applyAlignment="1" applyBorder="1" applyFont="1">
      <alignment horizontal="center" readingOrder="0" shrinkToFit="0" vertical="center" wrapText="1"/>
    </xf>
    <xf borderId="1" fillId="0" fontId="10" numFmtId="4" xfId="0" applyAlignment="1" applyBorder="1" applyFont="1" applyNumberFormat="1">
      <alignment horizontal="center" shrinkToFit="0" vertical="center" wrapText="1"/>
    </xf>
    <xf borderId="6" fillId="0" fontId="10" numFmtId="0" xfId="0" applyAlignment="1" applyBorder="1" applyFont="1">
      <alignment readingOrder="0" shrinkToFit="0" wrapText="1"/>
    </xf>
    <xf borderId="6" fillId="0" fontId="10" numFmtId="4" xfId="0" applyAlignment="1" applyBorder="1" applyFont="1" applyNumberFormat="1">
      <alignment horizontal="right" shrinkToFit="0" wrapText="1"/>
    </xf>
    <xf borderId="18" fillId="0" fontId="2" numFmtId="0" xfId="0" applyBorder="1" applyFont="1"/>
    <xf borderId="6" fillId="0" fontId="10" numFmtId="0" xfId="0" applyAlignment="1" applyBorder="1" applyFont="1">
      <alignment shrinkToFit="0" wrapText="1"/>
    </xf>
    <xf borderId="15" fillId="0" fontId="10" numFmtId="0" xfId="0" applyAlignment="1" applyBorder="1" applyFont="1">
      <alignment horizontal="center" shrinkToFit="0" vertical="center" wrapText="1"/>
    </xf>
    <xf borderId="1" fillId="0" fontId="12" numFmtId="4" xfId="0" applyAlignment="1" applyBorder="1" applyFont="1" applyNumberFormat="1">
      <alignment shrinkToFit="0" vertical="center" wrapText="1"/>
    </xf>
    <xf borderId="0" fillId="0" fontId="12" numFmtId="4" xfId="0" applyFont="1" applyNumberFormat="1"/>
    <xf borderId="7" fillId="0" fontId="13" numFmtId="0" xfId="0" applyAlignment="1" applyBorder="1" applyFont="1">
      <alignment horizontal="left" vertical="center"/>
    </xf>
    <xf borderId="0" fillId="0" fontId="13" numFmtId="0" xfId="0" applyAlignment="1" applyFont="1">
      <alignment horizontal="center"/>
    </xf>
    <xf borderId="6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readingOrder="0" vertical="center"/>
    </xf>
    <xf borderId="1" fillId="14" fontId="14" numFmtId="0" xfId="0" applyAlignment="1" applyBorder="1" applyFill="1" applyFont="1">
      <alignment horizontal="center" readingOrder="0" vertical="center"/>
    </xf>
    <xf borderId="2" fillId="14" fontId="14" numFmtId="0" xfId="0" applyAlignment="1" applyBorder="1" applyFont="1">
      <alignment horizontal="center" readingOrder="0" vertical="center"/>
    </xf>
    <xf borderId="19" fillId="14" fontId="14" numFmtId="0" xfId="0" applyAlignment="1" applyBorder="1" applyFont="1">
      <alignment horizontal="center" readingOrder="0" vertical="center"/>
    </xf>
    <xf borderId="4" fillId="14" fontId="14" numFmtId="0" xfId="0" applyAlignment="1" applyBorder="1" applyFont="1">
      <alignment horizontal="center" readingOrder="0" vertical="center"/>
    </xf>
    <xf borderId="5" fillId="14" fontId="14" numFmtId="0" xfId="0" applyAlignment="1" applyBorder="1" applyFont="1">
      <alignment horizontal="center" readingOrder="0" vertical="center"/>
    </xf>
    <xf borderId="20" fillId="14" fontId="14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6" fillId="0" fontId="4" numFmtId="164" xfId="0" applyAlignment="1" applyBorder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6" fillId="5" fontId="4" numFmtId="4" xfId="0" applyAlignment="1" applyBorder="1" applyFont="1" applyNumberFormat="1">
      <alignment readingOrder="0"/>
    </xf>
    <xf borderId="6" fillId="15" fontId="4" numFmtId="4" xfId="0" applyAlignment="1" applyBorder="1" applyFill="1" applyFont="1" applyNumberFormat="1">
      <alignment readingOrder="0"/>
    </xf>
    <xf borderId="0" fillId="15" fontId="4" numFmtId="0" xfId="0" applyAlignment="1" applyFont="1">
      <alignment readingOrder="0"/>
    </xf>
    <xf borderId="6" fillId="12" fontId="4" numFmtId="4" xfId="0" applyAlignment="1" applyBorder="1" applyFont="1" applyNumberFormat="1">
      <alignment readingOrder="0"/>
    </xf>
    <xf borderId="6" fillId="12" fontId="4" numFmtId="4" xfId="0" applyBorder="1" applyFont="1" applyNumberFormat="1"/>
    <xf borderId="0" fillId="5" fontId="4" numFmtId="0" xfId="0" applyAlignment="1" applyFont="1">
      <alignment readingOrder="0" shrinkToFit="0" wrapText="1"/>
    </xf>
    <xf borderId="7" fillId="0" fontId="6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6" fillId="0" fontId="5" numFmtId="164" xfId="0" applyAlignment="1" applyBorder="1" applyFont="1" applyNumberFormat="1">
      <alignment horizontal="center" readingOrder="0" shrinkToFit="0" wrapText="1"/>
    </xf>
    <xf borderId="6" fillId="0" fontId="5" numFmtId="4" xfId="0" applyAlignment="1" applyBorder="1" applyFont="1" applyNumberFormat="1">
      <alignment readingOrder="0" shrinkToFit="0" wrapText="1"/>
    </xf>
    <xf borderId="0" fillId="0" fontId="5" numFmtId="4" xfId="0" applyAlignment="1" applyFont="1" applyNumberFormat="1">
      <alignment readingOrder="0" shrinkToFit="0" wrapText="1"/>
    </xf>
    <xf borderId="6" fillId="0" fontId="5" numFmtId="4" xfId="0" applyAlignment="1" applyBorder="1" applyFont="1" applyNumberFormat="1">
      <alignment shrinkToFit="0" wrapText="1"/>
    </xf>
    <xf borderId="7" fillId="0" fontId="5" numFmtId="4" xfId="0" applyAlignment="1" applyBorder="1" applyFont="1" applyNumberFormat="1">
      <alignment shrinkToFit="0" wrapText="1"/>
    </xf>
    <xf borderId="3" fillId="0" fontId="4" numFmtId="4" xfId="0" applyBorder="1" applyFont="1" applyNumberFormat="1"/>
    <xf borderId="7" fillId="0" fontId="5" numFmtId="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2" max="12" width="17.63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</row>
    <row r="6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</row>
    <row r="7">
      <c r="A7" s="7">
        <v>45659.0</v>
      </c>
      <c r="B7" s="8" t="s">
        <v>12</v>
      </c>
      <c r="C7" s="8">
        <v>858120.0</v>
      </c>
      <c r="D7" s="8">
        <v>700400.0</v>
      </c>
      <c r="E7" s="8">
        <v>290200.0</v>
      </c>
      <c r="F7" s="8">
        <v>196300.0</v>
      </c>
      <c r="G7" s="8">
        <v>145700.0</v>
      </c>
      <c r="H7" s="8">
        <v>9920.0</v>
      </c>
      <c r="I7" s="9">
        <f t="shared" ref="I7:I11" si="1">SUM(C7:G7)-H7</f>
        <v>2180800</v>
      </c>
      <c r="J7" s="9"/>
      <c r="K7" s="9"/>
    </row>
    <row r="8">
      <c r="A8" s="7">
        <v>45659.0</v>
      </c>
      <c r="B8" s="8" t="s">
        <v>13</v>
      </c>
      <c r="C8" s="8">
        <v>229220.0</v>
      </c>
      <c r="D8" s="8">
        <v>136800.0</v>
      </c>
      <c r="E8" s="8">
        <v>125700.0</v>
      </c>
      <c r="F8" s="8">
        <v>21500.0</v>
      </c>
      <c r="G8" s="8">
        <v>51500.0</v>
      </c>
      <c r="H8" s="8">
        <v>8120.0</v>
      </c>
      <c r="I8" s="9">
        <f t="shared" si="1"/>
        <v>556600</v>
      </c>
      <c r="J8" s="9">
        <f>I7+I8</f>
        <v>2737400</v>
      </c>
      <c r="K8" s="9"/>
    </row>
    <row r="9">
      <c r="A9" s="10">
        <v>45660.0</v>
      </c>
      <c r="B9" s="11" t="s">
        <v>12</v>
      </c>
      <c r="C9" s="11">
        <v>649320.0</v>
      </c>
      <c r="D9" s="11">
        <v>556600.0</v>
      </c>
      <c r="E9" s="11">
        <v>450600.0</v>
      </c>
      <c r="F9" s="11">
        <v>148500.0</v>
      </c>
      <c r="G9" s="11">
        <f>368800</f>
        <v>368800</v>
      </c>
      <c r="H9" s="11">
        <v>2420.0</v>
      </c>
      <c r="I9" s="12">
        <f t="shared" si="1"/>
        <v>2171400</v>
      </c>
      <c r="J9" s="13"/>
      <c r="K9" s="13"/>
    </row>
    <row r="10">
      <c r="A10" s="10">
        <v>45660.0</v>
      </c>
      <c r="B10" s="11" t="s">
        <v>13</v>
      </c>
      <c r="C10" s="11">
        <v>33520.0</v>
      </c>
      <c r="D10" s="11">
        <v>136400.0</v>
      </c>
      <c r="E10" s="11">
        <v>52100.0</v>
      </c>
      <c r="F10" s="11"/>
      <c r="G10" s="11">
        <v>124700.0</v>
      </c>
      <c r="H10" s="11">
        <v>9320.0</v>
      </c>
      <c r="I10" s="13">
        <f t="shared" si="1"/>
        <v>337400</v>
      </c>
      <c r="J10" s="13">
        <f>I9+I10</f>
        <v>2508800</v>
      </c>
      <c r="K10" s="13"/>
    </row>
    <row r="11">
      <c r="A11" s="7">
        <v>45661.0</v>
      </c>
      <c r="B11" s="8" t="s">
        <v>12</v>
      </c>
      <c r="C11" s="8">
        <v>550670.0</v>
      </c>
      <c r="D11" s="8">
        <v>447300.0</v>
      </c>
      <c r="E11" s="8">
        <v>150300.0</v>
      </c>
      <c r="F11" s="8">
        <v>28300.0</v>
      </c>
      <c r="G11" s="9">
        <f>50000+40500+260700+36000</f>
        <v>387200</v>
      </c>
      <c r="H11" s="8">
        <v>3620.0</v>
      </c>
      <c r="I11" s="9">
        <f t="shared" si="1"/>
        <v>1560150</v>
      </c>
      <c r="J11" s="9"/>
      <c r="K11" s="9"/>
    </row>
    <row r="12">
      <c r="A12" s="14" t="s">
        <v>14</v>
      </c>
      <c r="B12" s="15"/>
      <c r="C12" s="15"/>
      <c r="D12" s="15"/>
      <c r="E12" s="15"/>
      <c r="F12" s="15"/>
      <c r="G12" s="15"/>
      <c r="H12" s="15"/>
      <c r="I12" s="15"/>
      <c r="J12" s="16"/>
      <c r="K12" s="17">
        <f>SUM(J7:J11)</f>
        <v>5246200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>
      <c r="A13" s="10">
        <v>45663.0</v>
      </c>
      <c r="B13" s="11" t="s">
        <v>12</v>
      </c>
      <c r="C13" s="11">
        <f>64410+790670</f>
        <v>855080</v>
      </c>
      <c r="D13" s="11">
        <v>935500.0</v>
      </c>
      <c r="E13" s="11">
        <v>419900.0</v>
      </c>
      <c r="F13" s="11">
        <v>120160.0</v>
      </c>
      <c r="G13" s="11">
        <f>17300+118600</f>
        <v>135900</v>
      </c>
      <c r="H13" s="11">
        <v>5670.0</v>
      </c>
      <c r="I13" s="9">
        <f>SUM(C12:F13)-H13</f>
        <v>2324970</v>
      </c>
      <c r="J13" s="13"/>
      <c r="K13" s="13"/>
    </row>
    <row r="14">
      <c r="A14" s="10">
        <v>45663.0</v>
      </c>
      <c r="B14" s="11" t="s">
        <v>13</v>
      </c>
      <c r="C14" s="11">
        <v>230600.0</v>
      </c>
      <c r="D14" s="11">
        <v>270400.0</v>
      </c>
      <c r="E14" s="11">
        <v>187400.0</v>
      </c>
      <c r="F14" s="11">
        <v>32860.0</v>
      </c>
      <c r="G14" s="11">
        <v>84920.0</v>
      </c>
      <c r="H14" s="11">
        <v>20580.0</v>
      </c>
      <c r="I14" s="13">
        <f t="shared" ref="I14:I23" si="2">SUM(C14:F14)</f>
        <v>721260</v>
      </c>
      <c r="J14" s="13">
        <f>SUM(I13:I14)</f>
        <v>3046230</v>
      </c>
      <c r="K14" s="13"/>
    </row>
    <row r="15">
      <c r="A15" s="7">
        <v>45664.0</v>
      </c>
      <c r="B15" s="8" t="s">
        <v>12</v>
      </c>
      <c r="C15" s="11">
        <f>978210+77520</f>
        <v>1055730</v>
      </c>
      <c r="D15" s="13">
        <v>547400.0</v>
      </c>
      <c r="E15" s="13">
        <v>395700.0</v>
      </c>
      <c r="F15" s="13">
        <v>67260.5</v>
      </c>
      <c r="G15" s="11">
        <v>359390.0</v>
      </c>
      <c r="H15" s="11">
        <v>1420.0</v>
      </c>
      <c r="I15" s="9">
        <f t="shared" si="2"/>
        <v>2066090.5</v>
      </c>
      <c r="J15" s="13"/>
      <c r="K15" s="13"/>
    </row>
    <row r="16">
      <c r="A16" s="7">
        <v>45664.0</v>
      </c>
      <c r="B16" s="8" t="s">
        <v>13</v>
      </c>
      <c r="C16" s="11">
        <v>223400.0</v>
      </c>
      <c r="D16" s="11">
        <v>275500.0</v>
      </c>
      <c r="E16" s="11">
        <v>213900.0</v>
      </c>
      <c r="F16" s="11">
        <v>68320.0</v>
      </c>
      <c r="G16" s="11">
        <v>75000.0</v>
      </c>
      <c r="H16" s="11">
        <v>1330.0</v>
      </c>
      <c r="I16" s="9">
        <f t="shared" si="2"/>
        <v>781120</v>
      </c>
      <c r="J16" s="13">
        <f>I15+I16</f>
        <v>2847210.5</v>
      </c>
      <c r="K16" s="13"/>
    </row>
    <row r="17">
      <c r="A17" s="7">
        <v>45665.0</v>
      </c>
      <c r="B17" s="11" t="s">
        <v>12</v>
      </c>
      <c r="C17" s="11">
        <f>860100</f>
        <v>860100</v>
      </c>
      <c r="D17" s="11">
        <v>577300.0</v>
      </c>
      <c r="E17" s="11">
        <v>412600.0</v>
      </c>
      <c r="F17" s="11">
        <f>166090+47506.5</f>
        <v>213596.5</v>
      </c>
      <c r="G17" s="11">
        <v>119800.0</v>
      </c>
      <c r="H17" s="11">
        <v>3380.0</v>
      </c>
      <c r="I17" s="13">
        <f t="shared" si="2"/>
        <v>2063596.5</v>
      </c>
      <c r="J17" s="13"/>
      <c r="K17" s="13"/>
    </row>
    <row r="18">
      <c r="A18" s="7">
        <v>45665.0</v>
      </c>
      <c r="B18" s="11" t="s">
        <v>13</v>
      </c>
      <c r="C18" s="11">
        <v>111300.0</v>
      </c>
      <c r="D18" s="11">
        <v>227900.0</v>
      </c>
      <c r="E18" s="11">
        <v>161300.0</v>
      </c>
      <c r="F18" s="11">
        <v>11090.0</v>
      </c>
      <c r="G18" s="11">
        <v>51500.0</v>
      </c>
      <c r="H18" s="11">
        <v>14180.0</v>
      </c>
      <c r="I18" s="9">
        <f t="shared" si="2"/>
        <v>511590</v>
      </c>
      <c r="J18" s="13">
        <f>I17+I18</f>
        <v>2575186.5</v>
      </c>
      <c r="K18" s="13"/>
    </row>
    <row r="19">
      <c r="A19" s="7">
        <v>45666.0</v>
      </c>
      <c r="B19" s="8" t="s">
        <v>12</v>
      </c>
      <c r="C19" s="11">
        <v>1283200.0</v>
      </c>
      <c r="D19" s="11">
        <v>569200.0</v>
      </c>
      <c r="E19" s="11">
        <v>507200.0</v>
      </c>
      <c r="F19" s="11">
        <f>33240+152030</f>
        <v>185270</v>
      </c>
      <c r="G19" s="13">
        <f>220600+70800+100000</f>
        <v>391400</v>
      </c>
      <c r="H19" s="11">
        <v>1480.0</v>
      </c>
      <c r="I19" s="9">
        <f t="shared" si="2"/>
        <v>2544870</v>
      </c>
      <c r="J19" s="13"/>
      <c r="K19" s="13"/>
    </row>
    <row r="20">
      <c r="A20" s="7">
        <v>45666.0</v>
      </c>
      <c r="B20" s="8" t="s">
        <v>13</v>
      </c>
      <c r="C20" s="11">
        <v>145900.0</v>
      </c>
      <c r="D20" s="11">
        <v>292500.0</v>
      </c>
      <c r="E20" s="11">
        <v>40100.0</v>
      </c>
      <c r="F20" s="11">
        <v>11100.0</v>
      </c>
      <c r="G20" s="11">
        <v>75000.0</v>
      </c>
      <c r="H20" s="11">
        <v>6520.0</v>
      </c>
      <c r="I20" s="13">
        <f t="shared" si="2"/>
        <v>489600</v>
      </c>
      <c r="J20" s="13">
        <f>SUM(I19:I20)</f>
        <v>3034470</v>
      </c>
      <c r="K20" s="13"/>
    </row>
    <row r="21">
      <c r="A21" s="10">
        <v>45667.0</v>
      </c>
      <c r="B21" s="11" t="s">
        <v>12</v>
      </c>
      <c r="C21" s="11">
        <v>997300.0</v>
      </c>
      <c r="D21" s="11">
        <v>670300.0</v>
      </c>
      <c r="E21" s="11">
        <v>485500.0</v>
      </c>
      <c r="F21" s="11">
        <f>56510+221560</f>
        <v>278070</v>
      </c>
      <c r="G21" s="11">
        <v>873200.0</v>
      </c>
      <c r="H21" s="11">
        <v>1420.0</v>
      </c>
      <c r="I21" s="9">
        <f t="shared" si="2"/>
        <v>2431170</v>
      </c>
      <c r="J21" s="13"/>
      <c r="K21" s="13"/>
    </row>
    <row r="22">
      <c r="A22" s="10">
        <v>45667.0</v>
      </c>
      <c r="B22" s="11" t="s">
        <v>13</v>
      </c>
      <c r="C22" s="11">
        <v>78500.0</v>
      </c>
      <c r="D22" s="11">
        <v>120400.0</v>
      </c>
      <c r="E22" s="11">
        <v>122900.0</v>
      </c>
      <c r="F22" s="11">
        <v>45560.0</v>
      </c>
      <c r="G22" s="11">
        <v>37500.0</v>
      </c>
      <c r="H22" s="11">
        <v>11030.0</v>
      </c>
      <c r="I22" s="9">
        <f t="shared" si="2"/>
        <v>367360</v>
      </c>
      <c r="J22" s="13">
        <f>I21+I22</f>
        <v>2798530</v>
      </c>
      <c r="K22" s="13"/>
    </row>
    <row r="23">
      <c r="A23" s="10">
        <v>45668.0</v>
      </c>
      <c r="B23" s="8" t="s">
        <v>12</v>
      </c>
      <c r="C23" s="11">
        <v>723700.0</v>
      </c>
      <c r="D23" s="11">
        <v>399700.0</v>
      </c>
      <c r="E23" s="11">
        <v>418900.0</v>
      </c>
      <c r="F23" s="11">
        <f>69080+101740</f>
        <v>170820</v>
      </c>
      <c r="G23" s="11">
        <v>392800.0</v>
      </c>
      <c r="H23" s="11">
        <v>1030.0</v>
      </c>
      <c r="I23" s="13">
        <f t="shared" si="2"/>
        <v>1713120</v>
      </c>
      <c r="J23" s="13">
        <f>I23</f>
        <v>1713120</v>
      </c>
      <c r="K23" s="13"/>
    </row>
    <row r="24">
      <c r="A24" s="14" t="s">
        <v>15</v>
      </c>
      <c r="B24" s="15"/>
      <c r="C24" s="15"/>
      <c r="D24" s="15"/>
      <c r="E24" s="15"/>
      <c r="F24" s="15"/>
      <c r="G24" s="15"/>
      <c r="H24" s="15"/>
      <c r="I24" s="15"/>
      <c r="J24" s="16"/>
      <c r="K24" s="17">
        <f>SUM(J13:J23)</f>
        <v>16014747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>
      <c r="A25" s="10">
        <v>45670.0</v>
      </c>
      <c r="B25" s="8" t="s">
        <v>12</v>
      </c>
      <c r="C25" s="8">
        <v>1282200.0</v>
      </c>
      <c r="D25" s="8">
        <v>499800.0</v>
      </c>
      <c r="E25" s="8">
        <v>466500.0</v>
      </c>
      <c r="F25" s="8">
        <f>36490+197390</f>
        <v>233880</v>
      </c>
      <c r="G25" s="8">
        <v>199700.0</v>
      </c>
      <c r="H25" s="8">
        <v>11930.0</v>
      </c>
      <c r="I25" s="13">
        <f t="shared" ref="I25:I35" si="3">SUM(C25:F25)</f>
        <v>2482380</v>
      </c>
      <c r="J25" s="13"/>
      <c r="K25" s="13"/>
    </row>
    <row r="26">
      <c r="A26" s="10">
        <v>45670.0</v>
      </c>
      <c r="B26" s="11" t="s">
        <v>13</v>
      </c>
      <c r="C26" s="11">
        <v>156800.0</v>
      </c>
      <c r="D26" s="11">
        <v>254100.0</v>
      </c>
      <c r="E26" s="11">
        <v>285300.0</v>
      </c>
      <c r="F26" s="11">
        <v>48060.0</v>
      </c>
      <c r="G26" s="11">
        <v>73000.0</v>
      </c>
      <c r="H26" s="11">
        <v>14280.0</v>
      </c>
      <c r="I26" s="9">
        <f t="shared" si="3"/>
        <v>744260</v>
      </c>
      <c r="J26" s="13">
        <f>I25+I26</f>
        <v>3226640</v>
      </c>
      <c r="K26" s="13"/>
    </row>
    <row r="27">
      <c r="A27" s="10">
        <v>45671.0</v>
      </c>
      <c r="B27" s="11" t="s">
        <v>12</v>
      </c>
      <c r="C27" s="11">
        <v>1101230.0</v>
      </c>
      <c r="D27" s="11">
        <v>516100.0</v>
      </c>
      <c r="E27" s="11">
        <v>587800.0</v>
      </c>
      <c r="F27" s="11">
        <f>48090+211505</f>
        <v>259595</v>
      </c>
      <c r="G27" s="11">
        <v>240400.0</v>
      </c>
      <c r="H27" s="11">
        <v>680.0</v>
      </c>
      <c r="I27" s="9">
        <f t="shared" si="3"/>
        <v>2464725</v>
      </c>
      <c r="J27" s="13"/>
      <c r="K27" s="13"/>
    </row>
    <row r="28">
      <c r="A28" s="10">
        <v>45671.0</v>
      </c>
      <c r="B28" s="8" t="s">
        <v>13</v>
      </c>
      <c r="C28" s="8">
        <v>251000.0</v>
      </c>
      <c r="D28" s="8">
        <v>200900.0</v>
      </c>
      <c r="E28" s="8">
        <v>176400.0</v>
      </c>
      <c r="F28" s="8">
        <v>27020.0</v>
      </c>
      <c r="G28" s="8">
        <v>55500.0</v>
      </c>
      <c r="H28" s="8">
        <v>10830.0</v>
      </c>
      <c r="I28" s="9">
        <f t="shared" si="3"/>
        <v>655320</v>
      </c>
      <c r="J28" s="13">
        <f>I27+I28</f>
        <v>3120045</v>
      </c>
      <c r="K28" s="13"/>
    </row>
    <row r="29">
      <c r="A29" s="10">
        <v>45672.0</v>
      </c>
      <c r="B29" s="8" t="s">
        <v>12</v>
      </c>
      <c r="C29" s="8">
        <v>1034130.0</v>
      </c>
      <c r="D29" s="8">
        <v>751500.0</v>
      </c>
      <c r="E29" s="8">
        <v>481600.0</v>
      </c>
      <c r="F29" s="8">
        <f>15430+218190</f>
        <v>233620</v>
      </c>
      <c r="G29" s="8">
        <v>172200.0</v>
      </c>
      <c r="H29" s="8">
        <v>2330.0</v>
      </c>
      <c r="I29" s="9">
        <f t="shared" si="3"/>
        <v>2500850</v>
      </c>
      <c r="J29" s="13"/>
      <c r="K29" s="13"/>
    </row>
    <row r="30">
      <c r="A30" s="10">
        <v>45672.0</v>
      </c>
      <c r="B30" s="11" t="s">
        <v>13</v>
      </c>
      <c r="C30" s="11">
        <v>193200.0</v>
      </c>
      <c r="D30" s="11">
        <v>174600.0</v>
      </c>
      <c r="E30" s="11">
        <v>143900.0</v>
      </c>
      <c r="F30" s="11">
        <f>22450+34520</f>
        <v>56970</v>
      </c>
      <c r="G30" s="11">
        <v>74400.0</v>
      </c>
      <c r="H30" s="11">
        <v>17650.0</v>
      </c>
      <c r="I30" s="9">
        <f t="shared" si="3"/>
        <v>568670</v>
      </c>
      <c r="J30" s="13">
        <f>I29+I30</f>
        <v>3069520</v>
      </c>
      <c r="K30" s="13"/>
    </row>
    <row r="31">
      <c r="A31" s="10">
        <v>45673.0</v>
      </c>
      <c r="B31" s="11" t="s">
        <v>12</v>
      </c>
      <c r="C31" s="11">
        <v>1047170.0</v>
      </c>
      <c r="D31" s="11">
        <v>629500.0</v>
      </c>
      <c r="E31" s="11">
        <v>567200.0</v>
      </c>
      <c r="F31" s="11">
        <f>12890.5+183390</f>
        <v>196280.5</v>
      </c>
      <c r="G31" s="11">
        <f>122000+191700</f>
        <v>313700</v>
      </c>
      <c r="H31" s="11">
        <v>3800.0</v>
      </c>
      <c r="I31" s="9">
        <f t="shared" si="3"/>
        <v>2440150.5</v>
      </c>
      <c r="J31" s="13"/>
      <c r="K31" s="13"/>
    </row>
    <row r="32">
      <c r="A32" s="10">
        <v>45673.0</v>
      </c>
      <c r="B32" s="8" t="s">
        <v>13</v>
      </c>
      <c r="C32" s="8">
        <v>247000.0</v>
      </c>
      <c r="D32" s="8">
        <v>128600.0</v>
      </c>
      <c r="E32" s="8">
        <v>134400.0</v>
      </c>
      <c r="F32" s="8">
        <v>9500.0</v>
      </c>
      <c r="G32" s="8">
        <v>72150.0</v>
      </c>
      <c r="H32" s="8">
        <v>12470.0</v>
      </c>
      <c r="I32" s="9">
        <f t="shared" si="3"/>
        <v>519500</v>
      </c>
      <c r="J32" s="13">
        <f>I31+I32</f>
        <v>2959650.5</v>
      </c>
      <c r="K32" s="13"/>
    </row>
    <row r="33">
      <c r="A33" s="7">
        <v>45674.0</v>
      </c>
      <c r="B33" s="8" t="s">
        <v>12</v>
      </c>
      <c r="C33" s="8">
        <v>808230.0</v>
      </c>
      <c r="D33" s="8">
        <v>620100.0</v>
      </c>
      <c r="E33" s="8">
        <v>621700.0</v>
      </c>
      <c r="F33" s="8">
        <v>156110.0</v>
      </c>
      <c r="G33" s="8">
        <v>481100.0</v>
      </c>
      <c r="H33" s="8">
        <v>2630.0</v>
      </c>
      <c r="I33" s="9">
        <f t="shared" si="3"/>
        <v>2206140</v>
      </c>
      <c r="J33" s="13"/>
      <c r="K33" s="13"/>
    </row>
    <row r="34">
      <c r="A34" s="7">
        <v>45674.0</v>
      </c>
      <c r="B34" s="11" t="s">
        <v>13</v>
      </c>
      <c r="C34" s="11">
        <v>142250.0</v>
      </c>
      <c r="D34" s="11">
        <v>183700.0</v>
      </c>
      <c r="E34" s="11">
        <v>179300.0</v>
      </c>
      <c r="F34" s="11">
        <v>53840.0</v>
      </c>
      <c r="G34" s="11">
        <v>143900.0</v>
      </c>
      <c r="H34" s="11">
        <v>4600.0</v>
      </c>
      <c r="I34" s="9">
        <f t="shared" si="3"/>
        <v>559090</v>
      </c>
      <c r="J34" s="13">
        <f>I33+I34</f>
        <v>2765230</v>
      </c>
      <c r="K34" s="13"/>
    </row>
    <row r="35">
      <c r="A35" s="7">
        <v>45675.0</v>
      </c>
      <c r="B35" s="8" t="s">
        <v>12</v>
      </c>
      <c r="C35" s="8">
        <v>579900.0</v>
      </c>
      <c r="D35" s="8">
        <v>439700.0</v>
      </c>
      <c r="E35" s="8">
        <v>314800.0</v>
      </c>
      <c r="F35" s="8">
        <v>161822.0</v>
      </c>
      <c r="G35" s="8">
        <v>332300.0</v>
      </c>
      <c r="H35" s="8">
        <v>2950.0</v>
      </c>
      <c r="I35" s="9">
        <f t="shared" si="3"/>
        <v>1496222</v>
      </c>
      <c r="J35" s="13">
        <f>I35</f>
        <v>1496222</v>
      </c>
      <c r="K35" s="13"/>
    </row>
    <row r="36">
      <c r="A36" s="14" t="s">
        <v>16</v>
      </c>
      <c r="B36" s="15"/>
      <c r="C36" s="15"/>
      <c r="D36" s="15"/>
      <c r="E36" s="15"/>
      <c r="F36" s="15"/>
      <c r="G36" s="15"/>
      <c r="H36" s="15"/>
      <c r="I36" s="15"/>
      <c r="J36" s="16"/>
      <c r="K36" s="17">
        <f>SUM(J25:J35)</f>
        <v>16637307.5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>
      <c r="A37" s="10">
        <v>45677.0</v>
      </c>
      <c r="B37" s="11" t="s">
        <v>12</v>
      </c>
      <c r="C37" s="11">
        <v>1188770.0</v>
      </c>
      <c r="D37" s="11">
        <v>635000.0</v>
      </c>
      <c r="E37" s="11">
        <v>444900.0</v>
      </c>
      <c r="F37" s="11">
        <f>116141+35910</f>
        <v>152051</v>
      </c>
      <c r="G37" s="11">
        <v>133100.0</v>
      </c>
      <c r="H37" s="11">
        <v>3900.0</v>
      </c>
      <c r="I37" s="9">
        <f t="shared" ref="I37:I47" si="4">SUM(C37:F37)</f>
        <v>2420721</v>
      </c>
      <c r="J37" s="13"/>
      <c r="K37" s="13"/>
    </row>
    <row r="38">
      <c r="A38" s="10">
        <v>45677.0</v>
      </c>
      <c r="B38" s="11" t="s">
        <v>13</v>
      </c>
      <c r="C38" s="11">
        <v>132800.0</v>
      </c>
      <c r="D38" s="11">
        <v>331300.0</v>
      </c>
      <c r="E38" s="11">
        <v>168800.0</v>
      </c>
      <c r="F38" s="11">
        <v>61560.5</v>
      </c>
      <c r="G38" s="11">
        <v>49500.0</v>
      </c>
      <c r="H38" s="11">
        <v>7580.0</v>
      </c>
      <c r="I38" s="9">
        <f t="shared" si="4"/>
        <v>694460.5</v>
      </c>
      <c r="J38" s="13">
        <f>I37+I38</f>
        <v>3115181.5</v>
      </c>
      <c r="K38" s="13"/>
    </row>
    <row r="39">
      <c r="A39" s="7">
        <v>45678.0</v>
      </c>
      <c r="B39" s="8" t="s">
        <v>12</v>
      </c>
      <c r="C39" s="8">
        <v>987200.0</v>
      </c>
      <c r="D39" s="8">
        <v>601100.0</v>
      </c>
      <c r="E39" s="8">
        <v>306200.0</v>
      </c>
      <c r="F39" s="8">
        <f>24520+141500</f>
        <v>166020</v>
      </c>
      <c r="G39" s="8">
        <v>290800.0</v>
      </c>
      <c r="H39" s="8">
        <v>1900.0</v>
      </c>
      <c r="I39" s="13">
        <f t="shared" si="4"/>
        <v>2060520</v>
      </c>
      <c r="J39" s="13"/>
      <c r="K39" s="13"/>
    </row>
    <row r="40">
      <c r="A40" s="7">
        <v>45678.0</v>
      </c>
      <c r="B40" s="8" t="s">
        <v>13</v>
      </c>
      <c r="C40" s="8">
        <v>166300.0</v>
      </c>
      <c r="D40" s="8">
        <v>432000.0</v>
      </c>
      <c r="E40" s="8">
        <v>141400.0</v>
      </c>
      <c r="F40" s="8">
        <v>0.0</v>
      </c>
      <c r="G40" s="8">
        <v>75100.0</v>
      </c>
      <c r="H40" s="8">
        <v>20740.0</v>
      </c>
      <c r="I40" s="13">
        <f t="shared" si="4"/>
        <v>739700</v>
      </c>
      <c r="J40" s="13">
        <f>I39+I40</f>
        <v>2800220</v>
      </c>
      <c r="K40" s="13"/>
    </row>
    <row r="41">
      <c r="A41" s="7">
        <v>45679.0</v>
      </c>
      <c r="B41" s="11" t="s">
        <v>12</v>
      </c>
      <c r="C41" s="11">
        <v>895370.0</v>
      </c>
      <c r="D41" s="11">
        <v>629000.0</v>
      </c>
      <c r="E41" s="11">
        <v>520000.0</v>
      </c>
      <c r="F41" s="11">
        <v>166530.0</v>
      </c>
      <c r="G41" s="11">
        <v>192000.0</v>
      </c>
      <c r="H41" s="11">
        <v>1940.0</v>
      </c>
      <c r="I41" s="13">
        <f t="shared" si="4"/>
        <v>2210900</v>
      </c>
      <c r="J41" s="13"/>
      <c r="K41" s="13"/>
    </row>
    <row r="42">
      <c r="A42" s="7">
        <v>45679.0</v>
      </c>
      <c r="B42" s="11" t="s">
        <v>13</v>
      </c>
      <c r="C42" s="11">
        <v>132500.0</v>
      </c>
      <c r="D42" s="11">
        <v>258800.0</v>
      </c>
      <c r="E42" s="11">
        <v>218900.0</v>
      </c>
      <c r="F42" s="11">
        <v>51780.0</v>
      </c>
      <c r="G42" s="11">
        <v>103000.0</v>
      </c>
      <c r="H42" s="11">
        <v>7820.0</v>
      </c>
      <c r="I42" s="13">
        <f t="shared" si="4"/>
        <v>661980</v>
      </c>
      <c r="J42" s="13">
        <f>I41+I42</f>
        <v>2872880</v>
      </c>
      <c r="K42" s="13"/>
    </row>
    <row r="43">
      <c r="A43" s="7">
        <v>45680.0</v>
      </c>
      <c r="B43" s="8" t="s">
        <v>12</v>
      </c>
      <c r="C43" s="8">
        <v>1004250.0</v>
      </c>
      <c r="D43" s="8">
        <v>660200.0</v>
      </c>
      <c r="E43" s="8">
        <v>324500.0</v>
      </c>
      <c r="F43" s="8">
        <v>240500.0</v>
      </c>
      <c r="G43" s="8">
        <v>133600.0</v>
      </c>
      <c r="H43" s="8">
        <v>770.0</v>
      </c>
      <c r="I43" s="13">
        <f t="shared" si="4"/>
        <v>2229450</v>
      </c>
      <c r="J43" s="13"/>
      <c r="K43" s="13"/>
    </row>
    <row r="44">
      <c r="A44" s="7">
        <v>45680.0</v>
      </c>
      <c r="B44" s="8" t="s">
        <v>13</v>
      </c>
      <c r="C44" s="8">
        <v>119400.0</v>
      </c>
      <c r="D44" s="8">
        <v>227400.0</v>
      </c>
      <c r="E44" s="8">
        <v>107000.0</v>
      </c>
      <c r="F44" s="8">
        <v>28000.0</v>
      </c>
      <c r="G44" s="8">
        <v>74700.0</v>
      </c>
      <c r="H44" s="8">
        <v>8240.0</v>
      </c>
      <c r="I44" s="13">
        <f t="shared" si="4"/>
        <v>481800</v>
      </c>
      <c r="J44" s="13">
        <f>SUM(I43:I44)</f>
        <v>2711250</v>
      </c>
      <c r="K44" s="13"/>
    </row>
    <row r="45">
      <c r="A45" s="7">
        <v>45681.0</v>
      </c>
      <c r="B45" s="8" t="s">
        <v>12</v>
      </c>
      <c r="C45" s="8">
        <v>710500.0</v>
      </c>
      <c r="D45" s="8">
        <v>503100.0</v>
      </c>
      <c r="E45" s="8">
        <v>309400.0</v>
      </c>
      <c r="F45" s="8">
        <v>301150.0</v>
      </c>
      <c r="G45" s="8">
        <v>402500.0</v>
      </c>
      <c r="H45" s="8">
        <v>1940.0</v>
      </c>
      <c r="I45" s="13">
        <f t="shared" si="4"/>
        <v>1824150</v>
      </c>
      <c r="J45" s="13"/>
      <c r="K45" s="13"/>
    </row>
    <row r="46">
      <c r="A46" s="7">
        <v>45681.0</v>
      </c>
      <c r="B46" s="8" t="s">
        <v>13</v>
      </c>
      <c r="C46" s="8">
        <v>58300.0</v>
      </c>
      <c r="D46" s="8">
        <v>158500.0</v>
      </c>
      <c r="E46" s="8">
        <v>127700.0</v>
      </c>
      <c r="F46" s="8">
        <v>82940.0</v>
      </c>
      <c r="G46" s="8">
        <v>366300.0</v>
      </c>
      <c r="H46" s="8">
        <v>7690.0</v>
      </c>
      <c r="I46" s="13">
        <f t="shared" si="4"/>
        <v>427440</v>
      </c>
      <c r="J46" s="13">
        <f>I45+I46</f>
        <v>2251590</v>
      </c>
      <c r="K46" s="13"/>
    </row>
    <row r="47">
      <c r="A47" s="10">
        <v>45682.0</v>
      </c>
      <c r="B47" s="11" t="s">
        <v>12</v>
      </c>
      <c r="C47" s="11">
        <v>861820.0</v>
      </c>
      <c r="D47" s="11">
        <v>547200.0</v>
      </c>
      <c r="E47" s="11">
        <v>449800.0</v>
      </c>
      <c r="F47" s="11">
        <v>164670.0</v>
      </c>
      <c r="G47" s="11">
        <v>455980.0</v>
      </c>
      <c r="H47" s="11">
        <v>5300.0</v>
      </c>
      <c r="I47" s="13">
        <f t="shared" si="4"/>
        <v>2023490</v>
      </c>
      <c r="J47" s="13">
        <f>I47</f>
        <v>2023490</v>
      </c>
      <c r="K47" s="13"/>
    </row>
    <row r="48">
      <c r="A48" s="14" t="s">
        <v>17</v>
      </c>
      <c r="B48" s="15"/>
      <c r="C48" s="15"/>
      <c r="D48" s="15"/>
      <c r="E48" s="15"/>
      <c r="F48" s="15"/>
      <c r="G48" s="15"/>
      <c r="H48" s="15"/>
      <c r="I48" s="15"/>
      <c r="J48" s="16"/>
      <c r="K48" s="17">
        <f>SUM(J37:J47)</f>
        <v>15774611.5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>
      <c r="A49" s="7">
        <v>45684.0</v>
      </c>
      <c r="B49" s="8" t="s">
        <v>12</v>
      </c>
      <c r="C49" s="8">
        <v>926610.0</v>
      </c>
      <c r="D49" s="8">
        <v>630800.0</v>
      </c>
      <c r="E49" s="8">
        <v>616300.0</v>
      </c>
      <c r="F49" s="8">
        <f>27525.5+238334.53</f>
        <v>265860.03</v>
      </c>
      <c r="G49" s="8">
        <v>285750.0</v>
      </c>
      <c r="H49" s="8">
        <v>8240.0</v>
      </c>
      <c r="I49" s="13">
        <f t="shared" ref="I49:I59" si="5">SUM(C49:F49)</f>
        <v>2439570.03</v>
      </c>
      <c r="J49" s="13"/>
      <c r="K49" s="13"/>
    </row>
    <row r="50">
      <c r="A50" s="7">
        <v>45684.0</v>
      </c>
      <c r="B50" s="8" t="s">
        <v>13</v>
      </c>
      <c r="C50" s="8">
        <v>209000.0</v>
      </c>
      <c r="D50" s="8">
        <v>225100.0</v>
      </c>
      <c r="E50" s="8">
        <v>157700.0</v>
      </c>
      <c r="F50" s="8">
        <v>10858.47</v>
      </c>
      <c r="G50" s="8">
        <v>74900.0</v>
      </c>
      <c r="H50" s="8">
        <v>8080.0</v>
      </c>
      <c r="I50" s="13">
        <f t="shared" si="5"/>
        <v>602658.47</v>
      </c>
      <c r="J50" s="13">
        <f>I49+I50</f>
        <v>3042228.5</v>
      </c>
      <c r="K50" s="13"/>
    </row>
    <row r="51">
      <c r="A51" s="10">
        <v>45685.0</v>
      </c>
      <c r="B51" s="11" t="s">
        <v>12</v>
      </c>
      <c r="C51" s="11">
        <v>849580.0</v>
      </c>
      <c r="D51" s="11">
        <v>696500.0</v>
      </c>
      <c r="E51" s="11">
        <v>464100.0</v>
      </c>
      <c r="F51" s="11">
        <v>252918.3</v>
      </c>
      <c r="G51" s="11">
        <v>301750.0</v>
      </c>
      <c r="H51" s="11">
        <v>160.0</v>
      </c>
      <c r="I51" s="13">
        <f t="shared" si="5"/>
        <v>2263098.3</v>
      </c>
      <c r="J51" s="13"/>
      <c r="K51" s="13"/>
    </row>
    <row r="52">
      <c r="A52" s="10">
        <v>45685.0</v>
      </c>
      <c r="B52" s="11" t="s">
        <v>13</v>
      </c>
      <c r="C52" s="11">
        <v>172300.0</v>
      </c>
      <c r="D52" s="11">
        <v>135100.0</v>
      </c>
      <c r="E52" s="11">
        <v>52400.0</v>
      </c>
      <c r="F52" s="11">
        <v>47614.2</v>
      </c>
      <c r="G52" s="11">
        <v>81600.0</v>
      </c>
      <c r="H52" s="11">
        <v>8730.0</v>
      </c>
      <c r="I52" s="13">
        <f t="shared" si="5"/>
        <v>407414.2</v>
      </c>
      <c r="J52" s="13">
        <f>I51+I52</f>
        <v>2670512.5</v>
      </c>
      <c r="K52" s="13"/>
    </row>
    <row r="53">
      <c r="A53" s="7">
        <v>45686.0</v>
      </c>
      <c r="B53" s="8" t="s">
        <v>12</v>
      </c>
      <c r="C53" s="8">
        <v>1074800.0</v>
      </c>
      <c r="D53" s="8">
        <v>524500.0</v>
      </c>
      <c r="E53" s="8">
        <v>427800.0</v>
      </c>
      <c r="F53" s="8">
        <f>18870+96164.12</f>
        <v>115034.12</v>
      </c>
      <c r="G53" s="8">
        <v>237900.0</v>
      </c>
      <c r="H53" s="8">
        <v>1000.0</v>
      </c>
      <c r="I53" s="13">
        <f t="shared" si="5"/>
        <v>2142134.12</v>
      </c>
      <c r="J53" s="13"/>
      <c r="K53" s="13"/>
    </row>
    <row r="54">
      <c r="A54" s="7">
        <v>45686.0</v>
      </c>
      <c r="B54" s="8" t="s">
        <v>13</v>
      </c>
      <c r="C54" s="8">
        <v>178400.0</v>
      </c>
      <c r="D54" s="8">
        <v>238500.0</v>
      </c>
      <c r="E54" s="8">
        <v>208700.0</v>
      </c>
      <c r="F54" s="8">
        <v>45891.38</v>
      </c>
      <c r="G54" s="8">
        <v>74700.0</v>
      </c>
      <c r="H54" s="8">
        <v>6780.0</v>
      </c>
      <c r="I54" s="13">
        <f t="shared" si="5"/>
        <v>671491.38</v>
      </c>
      <c r="J54" s="13">
        <f>I53+I54</f>
        <v>2813625.5</v>
      </c>
      <c r="K54" s="13"/>
    </row>
    <row r="55">
      <c r="A55" s="10">
        <v>45687.0</v>
      </c>
      <c r="B55" s="11" t="s">
        <v>12</v>
      </c>
      <c r="C55" s="11">
        <v>1053300.0</v>
      </c>
      <c r="D55" s="11">
        <v>640900.0</v>
      </c>
      <c r="E55" s="11">
        <v>272400.0</v>
      </c>
      <c r="F55" s="11">
        <f>18105.5+120481</f>
        <v>138586.5</v>
      </c>
      <c r="G55" s="11">
        <v>406490.0</v>
      </c>
      <c r="H55" s="11">
        <v>1480.0</v>
      </c>
      <c r="I55" s="13">
        <f t="shared" si="5"/>
        <v>2105186.5</v>
      </c>
      <c r="J55" s="13"/>
      <c r="K55" s="13"/>
    </row>
    <row r="56">
      <c r="A56" s="10">
        <v>45687.0</v>
      </c>
      <c r="B56" s="11" t="s">
        <v>13</v>
      </c>
      <c r="C56" s="11">
        <v>171900.0</v>
      </c>
      <c r="D56" s="11">
        <v>199000.0</v>
      </c>
      <c r="E56" s="11">
        <v>109200.0</v>
      </c>
      <c r="F56" s="11">
        <v>0.0</v>
      </c>
      <c r="G56" s="11">
        <f>77000-27500</f>
        <v>49500</v>
      </c>
      <c r="H56" s="11">
        <v>9840.0</v>
      </c>
      <c r="I56" s="13">
        <f t="shared" si="5"/>
        <v>480100</v>
      </c>
      <c r="J56" s="13">
        <f>I55+I56</f>
        <v>2585286.5</v>
      </c>
      <c r="K56" s="13"/>
    </row>
    <row r="57">
      <c r="A57" s="7">
        <v>45688.0</v>
      </c>
      <c r="B57" s="8" t="s">
        <v>12</v>
      </c>
      <c r="C57" s="8">
        <v>1204150.0</v>
      </c>
      <c r="D57" s="8">
        <v>669600.0</v>
      </c>
      <c r="E57" s="8"/>
      <c r="F57" s="8">
        <f>17910.5+155993</f>
        <v>173903.5</v>
      </c>
      <c r="G57" s="8"/>
      <c r="H57" s="8"/>
      <c r="I57" s="13">
        <f t="shared" si="5"/>
        <v>2047653.5</v>
      </c>
      <c r="J57" s="13"/>
      <c r="K57" s="13"/>
    </row>
    <row r="58">
      <c r="A58" s="7">
        <v>45688.0</v>
      </c>
      <c r="B58" s="8" t="s">
        <v>13</v>
      </c>
      <c r="C58" s="8"/>
      <c r="D58" s="8"/>
      <c r="E58" s="8"/>
      <c r="F58" s="8"/>
      <c r="G58" s="8"/>
      <c r="H58" s="8"/>
      <c r="I58" s="13">
        <f t="shared" si="5"/>
        <v>0</v>
      </c>
      <c r="J58" s="13">
        <f>I57+I58</f>
        <v>2047653.5</v>
      </c>
      <c r="K58" s="13"/>
    </row>
    <row r="59">
      <c r="A59" s="10">
        <v>45689.0</v>
      </c>
      <c r="B59" s="11" t="s">
        <v>12</v>
      </c>
      <c r="C59" s="11"/>
      <c r="D59" s="11"/>
      <c r="E59" s="11"/>
      <c r="F59" s="11"/>
      <c r="G59" s="11"/>
      <c r="H59" s="11"/>
      <c r="I59" s="13">
        <f t="shared" si="5"/>
        <v>0</v>
      </c>
      <c r="J59" s="13">
        <f>I59</f>
        <v>0</v>
      </c>
      <c r="K59" s="13"/>
    </row>
    <row r="60">
      <c r="A60" s="14" t="s">
        <v>18</v>
      </c>
      <c r="B60" s="15"/>
      <c r="C60" s="15"/>
      <c r="D60" s="15"/>
      <c r="E60" s="15"/>
      <c r="F60" s="15"/>
      <c r="G60" s="15"/>
      <c r="H60" s="15"/>
      <c r="I60" s="15"/>
      <c r="J60" s="16"/>
      <c r="K60" s="17">
        <f>SUM(J49:J59)</f>
        <v>13159306.5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>
      <c r="A61" s="19" t="s">
        <v>19</v>
      </c>
      <c r="K61" s="20">
        <f>SUM(K7:K60)-J59</f>
        <v>66832172.5</v>
      </c>
    </row>
  </sheetData>
  <mergeCells count="7">
    <mergeCell ref="A2:K4"/>
    <mergeCell ref="A12:J12"/>
    <mergeCell ref="A24:J24"/>
    <mergeCell ref="A36:J36"/>
    <mergeCell ref="A48:J48"/>
    <mergeCell ref="A60:J60"/>
    <mergeCell ref="A61:J61"/>
  </mergeCells>
  <dataValidations>
    <dataValidation type="list" allowBlank="1" showErrorMessage="1" sqref="B7:B11 B13:B23 B25:B35 B37:B47 B49:B59">
      <formula1>"Día,Noche"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5"/>
    <col customWidth="1" min="3" max="3" width="17.75"/>
    <col customWidth="1" min="5" max="5" width="15.5"/>
  </cols>
  <sheetData>
    <row r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3" t="s">
        <v>20</v>
      </c>
      <c r="B2" s="24"/>
      <c r="C2" s="25"/>
      <c r="D2" s="24"/>
      <c r="E2" s="24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6"/>
      <c r="B3" s="27"/>
      <c r="C3" s="28"/>
      <c r="D3" s="27"/>
      <c r="E3" s="27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9"/>
      <c r="B4" s="30"/>
      <c r="C4" s="31"/>
      <c r="D4" s="30"/>
      <c r="E4" s="30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21"/>
      <c r="B5" s="22"/>
      <c r="C5" s="22"/>
      <c r="D5" s="22"/>
      <c r="E5" s="3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33" t="s">
        <v>1</v>
      </c>
      <c r="B6" s="34" t="s">
        <v>21</v>
      </c>
      <c r="C6" s="35" t="s">
        <v>22</v>
      </c>
      <c r="D6" s="34" t="s">
        <v>23</v>
      </c>
      <c r="E6" s="36" t="s">
        <v>24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30.0" customHeight="1">
      <c r="A7" s="37">
        <v>45659.0</v>
      </c>
      <c r="B7" s="38" t="s">
        <v>25</v>
      </c>
      <c r="C7" s="39" t="s">
        <v>26</v>
      </c>
      <c r="D7" s="39">
        <v>153348.0</v>
      </c>
      <c r="E7" s="35" t="s">
        <v>27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30.0" customHeight="1">
      <c r="A8" s="37">
        <v>45659.0</v>
      </c>
      <c r="B8" s="38" t="s">
        <v>28</v>
      </c>
      <c r="C8" s="39" t="s">
        <v>29</v>
      </c>
      <c r="D8" s="39">
        <f>119277+414874.01</f>
        <v>534151.01</v>
      </c>
      <c r="E8" s="35" t="s">
        <v>27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30.0" customHeight="1">
      <c r="A9" s="37">
        <v>45659.0</v>
      </c>
      <c r="B9" s="38" t="s">
        <v>30</v>
      </c>
      <c r="C9" s="39"/>
      <c r="D9" s="39">
        <v>500000.0</v>
      </c>
      <c r="E9" s="35" t="s">
        <v>3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30.0" customHeight="1">
      <c r="A10" s="37">
        <v>45659.0</v>
      </c>
      <c r="B10" s="38" t="s">
        <v>31</v>
      </c>
      <c r="C10" s="39" t="s">
        <v>32</v>
      </c>
      <c r="D10" s="39">
        <v>26000.0</v>
      </c>
      <c r="E10" s="35" t="s">
        <v>3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30.0" customHeight="1">
      <c r="A11" s="37">
        <v>45659.0</v>
      </c>
      <c r="B11" s="38" t="s">
        <v>33</v>
      </c>
      <c r="C11" s="39" t="s">
        <v>34</v>
      </c>
      <c r="D11" s="39">
        <v>275829.62</v>
      </c>
      <c r="E11" s="35" t="s">
        <v>27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30.0" customHeight="1">
      <c r="A12" s="37">
        <v>45659.0</v>
      </c>
      <c r="B12" s="38" t="s">
        <v>35</v>
      </c>
      <c r="C12" s="39" t="s">
        <v>36</v>
      </c>
      <c r="D12" s="39">
        <v>18650.0</v>
      </c>
      <c r="E12" s="35" t="s">
        <v>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30.0" customHeight="1">
      <c r="A13" s="37">
        <v>45659.0</v>
      </c>
      <c r="B13" s="38" t="s">
        <v>37</v>
      </c>
      <c r="C13" s="39"/>
      <c r="D13" s="39">
        <v>145700.0</v>
      </c>
      <c r="E13" s="35" t="s">
        <v>3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30.0" customHeight="1">
      <c r="A14" s="37">
        <v>45659.0</v>
      </c>
      <c r="B14" s="38" t="s">
        <v>38</v>
      </c>
      <c r="C14" s="39"/>
      <c r="D14" s="39">
        <v>51500.0</v>
      </c>
      <c r="E14" s="35" t="s">
        <v>3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30.0" customHeight="1">
      <c r="A15" s="37">
        <v>45660.0</v>
      </c>
      <c r="B15" s="38" t="s">
        <v>28</v>
      </c>
      <c r="C15" s="39" t="s">
        <v>39</v>
      </c>
      <c r="D15" s="39">
        <v>544503.99</v>
      </c>
      <c r="E15" s="35" t="s">
        <v>27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30.0" customHeight="1">
      <c r="A16" s="37">
        <v>45660.0</v>
      </c>
      <c r="B16" s="38" t="s">
        <v>40</v>
      </c>
      <c r="C16" s="39" t="s">
        <v>41</v>
      </c>
      <c r="D16" s="39">
        <v>326178.9</v>
      </c>
      <c r="E16" s="35" t="s">
        <v>27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30.0" customHeight="1">
      <c r="A17" s="37">
        <v>45660.0</v>
      </c>
      <c r="B17" s="38" t="s">
        <v>42</v>
      </c>
      <c r="C17" s="39" t="s">
        <v>43</v>
      </c>
      <c r="D17" s="39">
        <v>143040.0</v>
      </c>
      <c r="E17" s="35" t="s">
        <v>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30.0" customHeight="1">
      <c r="A18" s="37">
        <v>45660.0</v>
      </c>
      <c r="B18" s="38" t="s">
        <v>31</v>
      </c>
      <c r="C18" s="39" t="s">
        <v>44</v>
      </c>
      <c r="D18" s="39">
        <v>26000.0</v>
      </c>
      <c r="E18" s="35" t="s">
        <v>3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30.0" customHeight="1">
      <c r="A19" s="37">
        <v>45660.0</v>
      </c>
      <c r="B19" s="38" t="s">
        <v>35</v>
      </c>
      <c r="C19" s="39" t="s">
        <v>45</v>
      </c>
      <c r="D19" s="39">
        <v>3200.0</v>
      </c>
      <c r="E19" s="35" t="s">
        <v>3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30.0" customHeight="1">
      <c r="A20" s="37">
        <v>45660.0</v>
      </c>
      <c r="B20" s="38" t="s">
        <v>35</v>
      </c>
      <c r="C20" s="39" t="s">
        <v>46</v>
      </c>
      <c r="D20" s="39">
        <v>10400.0</v>
      </c>
      <c r="E20" s="35" t="s">
        <v>3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30.0" customHeight="1">
      <c r="A21" s="37">
        <v>45660.0</v>
      </c>
      <c r="B21" s="38" t="s">
        <v>47</v>
      </c>
      <c r="C21" s="39"/>
      <c r="D21" s="39">
        <v>100000.0</v>
      </c>
      <c r="E21" s="35" t="s">
        <v>3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30.0" customHeight="1">
      <c r="A22" s="37">
        <v>45660.0</v>
      </c>
      <c r="B22" s="38" t="s">
        <v>48</v>
      </c>
      <c r="C22" s="39" t="s">
        <v>49</v>
      </c>
      <c r="D22" s="39">
        <v>256000.0</v>
      </c>
      <c r="E22" s="35" t="s">
        <v>3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30.0" customHeight="1">
      <c r="A23" s="37">
        <v>45660.0</v>
      </c>
      <c r="B23" s="38" t="s">
        <v>50</v>
      </c>
      <c r="C23" s="39" t="s">
        <v>51</v>
      </c>
      <c r="D23" s="39">
        <v>60600.0</v>
      </c>
      <c r="E23" s="35" t="s">
        <v>3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30.0" customHeight="1">
      <c r="A24" s="37">
        <v>45660.0</v>
      </c>
      <c r="B24" s="38" t="s">
        <v>52</v>
      </c>
      <c r="C24" s="39"/>
      <c r="D24" s="39">
        <v>43000.0</v>
      </c>
      <c r="E24" s="35" t="s">
        <v>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30.0" customHeight="1">
      <c r="A25" s="37">
        <v>45660.0</v>
      </c>
      <c r="B25" s="38" t="s">
        <v>37</v>
      </c>
      <c r="C25" s="39"/>
      <c r="D25" s="39">
        <v>368800.0</v>
      </c>
      <c r="E25" s="35" t="s">
        <v>3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30.0" customHeight="1">
      <c r="A26" s="37">
        <v>45660.0</v>
      </c>
      <c r="B26" s="38" t="s">
        <v>38</v>
      </c>
      <c r="C26" s="39"/>
      <c r="D26" s="39">
        <v>156300.0</v>
      </c>
      <c r="E26" s="35" t="s">
        <v>3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30.0" customHeight="1">
      <c r="A27" s="37">
        <v>45661.0</v>
      </c>
      <c r="B27" s="38" t="s">
        <v>48</v>
      </c>
      <c r="C27" s="39" t="s">
        <v>53</v>
      </c>
      <c r="D27" s="39">
        <v>252000.0</v>
      </c>
      <c r="E27" s="35" t="s">
        <v>3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30.0" customHeight="1">
      <c r="A28" s="37">
        <v>45661.0</v>
      </c>
      <c r="B28" s="38" t="s">
        <v>28</v>
      </c>
      <c r="C28" s="39" t="s">
        <v>54</v>
      </c>
      <c r="D28" s="39">
        <v>178147.0</v>
      </c>
      <c r="E28" s="35" t="s">
        <v>27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30.0" customHeight="1">
      <c r="A29" s="37">
        <v>45661.0</v>
      </c>
      <c r="B29" s="38" t="s">
        <v>55</v>
      </c>
      <c r="C29" s="39" t="s">
        <v>56</v>
      </c>
      <c r="D29" s="39"/>
      <c r="E29" s="35" t="s">
        <v>3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30.0" customHeight="1">
      <c r="A30" s="37">
        <v>45661.0</v>
      </c>
      <c r="B30" s="38" t="s">
        <v>25</v>
      </c>
      <c r="C30" s="39" t="s">
        <v>57</v>
      </c>
      <c r="D30" s="39"/>
      <c r="E30" s="35" t="s">
        <v>27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30.0" customHeight="1">
      <c r="A31" s="37">
        <v>45661.0</v>
      </c>
      <c r="B31" s="38" t="s">
        <v>33</v>
      </c>
      <c r="C31" s="39" t="s">
        <v>58</v>
      </c>
      <c r="D31" s="39"/>
      <c r="E31" s="35" t="s">
        <v>27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30.0" customHeight="1">
      <c r="A32" s="37">
        <v>45661.0</v>
      </c>
      <c r="B32" s="38" t="s">
        <v>59</v>
      </c>
      <c r="C32" s="39" t="s">
        <v>60</v>
      </c>
      <c r="D32" s="39"/>
      <c r="E32" s="35" t="s">
        <v>3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30.0" customHeight="1">
      <c r="A33" s="37">
        <v>45661.0</v>
      </c>
      <c r="B33" s="38" t="s">
        <v>35</v>
      </c>
      <c r="C33" s="39" t="s">
        <v>61</v>
      </c>
      <c r="D33" s="39">
        <v>36000.0</v>
      </c>
      <c r="E33" s="35" t="s">
        <v>3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30.0" customHeight="1">
      <c r="A34" s="37">
        <v>45661.0</v>
      </c>
      <c r="B34" s="38" t="s">
        <v>37</v>
      </c>
      <c r="C34" s="39"/>
      <c r="D34" s="39">
        <v>260700.0</v>
      </c>
      <c r="E34" s="35" t="s">
        <v>3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30.0" customHeight="1">
      <c r="A35" s="37">
        <v>45661.0</v>
      </c>
      <c r="B35" s="38" t="s">
        <v>62</v>
      </c>
      <c r="C35" s="39"/>
      <c r="D35" s="39">
        <v>40500.0</v>
      </c>
      <c r="E35" s="35" t="s">
        <v>3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30.0" customHeight="1">
      <c r="A36" s="37">
        <v>45661.0</v>
      </c>
      <c r="B36" s="38" t="s">
        <v>37</v>
      </c>
      <c r="C36" s="39"/>
      <c r="D36" s="39">
        <v>260700.0</v>
      </c>
      <c r="E36" s="35" t="s">
        <v>3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30.0" customHeight="1">
      <c r="A37" s="37">
        <v>45663.0</v>
      </c>
      <c r="B37" s="38" t="s">
        <v>40</v>
      </c>
      <c r="C37" s="39" t="s">
        <v>63</v>
      </c>
      <c r="D37" s="39">
        <v>313201.0</v>
      </c>
      <c r="E37" s="35" t="s">
        <v>27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30.0" customHeight="1">
      <c r="A38" s="37">
        <v>45663.0</v>
      </c>
      <c r="B38" s="38" t="s">
        <v>47</v>
      </c>
      <c r="C38" s="39"/>
      <c r="D38" s="39">
        <v>76000.0</v>
      </c>
      <c r="E38" s="35" t="s">
        <v>3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30.0" customHeight="1">
      <c r="A39" s="37">
        <v>45663.0</v>
      </c>
      <c r="B39" s="38" t="s">
        <v>28</v>
      </c>
      <c r="C39" s="39" t="s">
        <v>64</v>
      </c>
      <c r="D39" s="39">
        <v>295742.01</v>
      </c>
      <c r="E39" s="35" t="s">
        <v>27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30.0" customHeight="1">
      <c r="A40" s="37">
        <v>45663.0</v>
      </c>
      <c r="B40" s="38" t="s">
        <v>50</v>
      </c>
      <c r="C40" s="39" t="s">
        <v>65</v>
      </c>
      <c r="D40" s="39">
        <v>60600.0</v>
      </c>
      <c r="E40" s="35" t="s">
        <v>3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30.0" customHeight="1">
      <c r="A41" s="37">
        <v>45663.0</v>
      </c>
      <c r="B41" s="38" t="s">
        <v>59</v>
      </c>
      <c r="C41" s="39" t="s">
        <v>66</v>
      </c>
      <c r="D41" s="39">
        <v>69150.0</v>
      </c>
      <c r="E41" s="35" t="s">
        <v>3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30.0" customHeight="1">
      <c r="A42" s="37">
        <v>45663.0</v>
      </c>
      <c r="B42" s="38" t="s">
        <v>31</v>
      </c>
      <c r="C42" s="39" t="s">
        <v>67</v>
      </c>
      <c r="D42" s="39">
        <v>26000.0</v>
      </c>
      <c r="E42" s="35" t="s">
        <v>3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30.0" customHeight="1">
      <c r="A43" s="37">
        <v>45663.0</v>
      </c>
      <c r="B43" s="38" t="s">
        <v>30</v>
      </c>
      <c r="C43" s="39"/>
      <c r="D43" s="39">
        <v>384000.0</v>
      </c>
      <c r="E43" s="35" t="s">
        <v>3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30.0" customHeight="1">
      <c r="A44" s="37">
        <v>45663.0</v>
      </c>
      <c r="B44" s="38" t="s">
        <v>68</v>
      </c>
      <c r="C44" s="39" t="s">
        <v>69</v>
      </c>
      <c r="D44" s="39">
        <v>43450.0</v>
      </c>
      <c r="E44" s="4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30.0" customHeight="1">
      <c r="A45" s="37">
        <v>45663.0</v>
      </c>
      <c r="B45" s="38" t="s">
        <v>28</v>
      </c>
      <c r="C45" s="39" t="s">
        <v>70</v>
      </c>
      <c r="D45" s="39">
        <v>233565.99</v>
      </c>
      <c r="E45" s="35" t="s">
        <v>27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30.0" customHeight="1">
      <c r="A46" s="37">
        <v>45663.0</v>
      </c>
      <c r="B46" s="38" t="s">
        <v>71</v>
      </c>
      <c r="C46" s="39"/>
      <c r="D46" s="39">
        <v>17300.0</v>
      </c>
      <c r="E46" s="35" t="s">
        <v>3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30.0" customHeight="1">
      <c r="A47" s="37">
        <v>45663.0</v>
      </c>
      <c r="B47" s="38" t="s">
        <v>37</v>
      </c>
      <c r="C47" s="39"/>
      <c r="D47" s="39">
        <v>118600.0</v>
      </c>
      <c r="E47" s="35" t="s">
        <v>3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30.0" customHeight="1">
      <c r="A48" s="37">
        <v>45663.0</v>
      </c>
      <c r="B48" s="38" t="s">
        <v>38</v>
      </c>
      <c r="C48" s="39"/>
      <c r="D48" s="39">
        <v>84960.0</v>
      </c>
      <c r="E48" s="35" t="s">
        <v>3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30.0" customHeight="1">
      <c r="A49" s="37">
        <v>45664.0</v>
      </c>
      <c r="B49" s="38" t="s">
        <v>31</v>
      </c>
      <c r="C49" s="39" t="s">
        <v>72</v>
      </c>
      <c r="D49" s="39">
        <v>26000.0</v>
      </c>
      <c r="E49" s="35" t="s">
        <v>3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30.0" customHeight="1">
      <c r="A50" s="37">
        <v>45664.0</v>
      </c>
      <c r="B50" s="38" t="s">
        <v>73</v>
      </c>
      <c r="C50" s="39" t="s">
        <v>74</v>
      </c>
      <c r="D50" s="39">
        <v>42000.0</v>
      </c>
      <c r="E50" s="35" t="s">
        <v>3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30.0" customHeight="1">
      <c r="A51" s="37">
        <v>45664.0</v>
      </c>
      <c r="B51" s="38" t="s">
        <v>35</v>
      </c>
      <c r="C51" s="39" t="s">
        <v>75</v>
      </c>
      <c r="D51" s="39">
        <v>8580.0</v>
      </c>
      <c r="E51" s="40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30.0" customHeight="1">
      <c r="A52" s="37">
        <v>45664.0</v>
      </c>
      <c r="B52" s="38" t="s">
        <v>59</v>
      </c>
      <c r="C52" s="39" t="s">
        <v>76</v>
      </c>
      <c r="D52" s="39">
        <v>134000.0</v>
      </c>
      <c r="E52" s="35" t="s">
        <v>3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30.0" customHeight="1">
      <c r="A53" s="37">
        <v>45664.0</v>
      </c>
      <c r="B53" s="38" t="s">
        <v>48</v>
      </c>
      <c r="C53" s="39" t="s">
        <v>77</v>
      </c>
      <c r="D53" s="39">
        <v>152000.0</v>
      </c>
      <c r="E53" s="35" t="s">
        <v>3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30.0" customHeight="1">
      <c r="A54" s="37">
        <v>45664.0</v>
      </c>
      <c r="B54" s="38" t="s">
        <v>78</v>
      </c>
      <c r="C54" s="39"/>
      <c r="D54" s="39">
        <v>13000.0</v>
      </c>
      <c r="E54" s="35" t="s">
        <v>3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30.0" customHeight="1">
      <c r="A55" s="37">
        <v>45664.0</v>
      </c>
      <c r="B55" s="38" t="s">
        <v>25</v>
      </c>
      <c r="C55" s="39" t="s">
        <v>79</v>
      </c>
      <c r="D55" s="39">
        <v>152128.0</v>
      </c>
      <c r="E55" s="35" t="s">
        <v>27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30.0" customHeight="1">
      <c r="A56" s="37">
        <v>45664.0</v>
      </c>
      <c r="B56" s="38" t="s">
        <v>80</v>
      </c>
      <c r="C56" s="39" t="s">
        <v>81</v>
      </c>
      <c r="D56" s="39">
        <v>102000.0</v>
      </c>
      <c r="E56" s="35" t="s">
        <v>3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30.0" customHeight="1">
      <c r="A57" s="37">
        <v>45664.0</v>
      </c>
      <c r="B57" s="38" t="s">
        <v>82</v>
      </c>
      <c r="C57" s="39" t="s">
        <v>83</v>
      </c>
      <c r="D57" s="39">
        <v>118590.0</v>
      </c>
      <c r="E57" s="35" t="s">
        <v>3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30.0" customHeight="1">
      <c r="A58" s="37">
        <v>45664.0</v>
      </c>
      <c r="B58" s="38" t="s">
        <v>37</v>
      </c>
      <c r="C58" s="39"/>
      <c r="D58" s="39">
        <v>134800.0</v>
      </c>
      <c r="E58" s="35" t="s">
        <v>3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30.0" customHeight="1">
      <c r="A59" s="37">
        <v>45664.0</v>
      </c>
      <c r="B59" s="38" t="s">
        <v>38</v>
      </c>
      <c r="C59" s="39"/>
      <c r="D59" s="39">
        <v>75000.0</v>
      </c>
      <c r="E59" s="35" t="s">
        <v>3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30.0" customHeight="1">
      <c r="A60" s="37">
        <v>45665.0</v>
      </c>
      <c r="B60" s="38" t="s">
        <v>31</v>
      </c>
      <c r="C60" s="39" t="s">
        <v>84</v>
      </c>
      <c r="D60" s="39">
        <v>26000.0</v>
      </c>
      <c r="E60" s="35" t="s">
        <v>3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30.0" customHeight="1">
      <c r="A61" s="37">
        <v>45665.0</v>
      </c>
      <c r="B61" s="38" t="s">
        <v>25</v>
      </c>
      <c r="C61" s="39" t="s">
        <v>85</v>
      </c>
      <c r="D61" s="39">
        <v>296641.0</v>
      </c>
      <c r="E61" s="35" t="s">
        <v>27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30.0" customHeight="1">
      <c r="A62" s="37">
        <v>45665.0</v>
      </c>
      <c r="B62" s="38" t="s">
        <v>50</v>
      </c>
      <c r="C62" s="39" t="s">
        <v>86</v>
      </c>
      <c r="D62" s="39">
        <v>60600.0</v>
      </c>
      <c r="E62" s="35" t="s">
        <v>3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30.0" customHeight="1">
      <c r="A63" s="37">
        <v>45665.0</v>
      </c>
      <c r="B63" s="38" t="s">
        <v>47</v>
      </c>
      <c r="C63" s="39"/>
      <c r="D63" s="39">
        <v>58000.0</v>
      </c>
      <c r="E63" s="35" t="s">
        <v>3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30.0" customHeight="1">
      <c r="A64" s="37">
        <v>45665.0</v>
      </c>
      <c r="B64" s="38" t="s">
        <v>59</v>
      </c>
      <c r="C64" s="39" t="s">
        <v>87</v>
      </c>
      <c r="D64" s="39">
        <v>69150.0</v>
      </c>
      <c r="E64" s="35" t="s">
        <v>3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30.0" customHeight="1">
      <c r="A65" s="37">
        <v>45665.0</v>
      </c>
      <c r="B65" s="38" t="s">
        <v>28</v>
      </c>
      <c r="C65" s="39" t="s">
        <v>88</v>
      </c>
      <c r="D65" s="39">
        <v>531453.98</v>
      </c>
      <c r="E65" s="35" t="s">
        <v>27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30.0" customHeight="1">
      <c r="A66" s="37">
        <v>45665.0</v>
      </c>
      <c r="B66" s="38" t="s">
        <v>33</v>
      </c>
      <c r="C66" s="39" t="s">
        <v>89</v>
      </c>
      <c r="D66" s="39">
        <v>285391.81</v>
      </c>
      <c r="E66" s="35" t="s">
        <v>27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30.0" customHeight="1">
      <c r="A67" s="37">
        <v>45665.0</v>
      </c>
      <c r="B67" s="38" t="s">
        <v>48</v>
      </c>
      <c r="C67" s="39" t="s">
        <v>90</v>
      </c>
      <c r="D67" s="39">
        <v>100000.0</v>
      </c>
      <c r="E67" s="35" t="s">
        <v>3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30.0" customHeight="1">
      <c r="A68" s="37">
        <v>45665.0</v>
      </c>
      <c r="B68" s="38" t="s">
        <v>91</v>
      </c>
      <c r="C68" s="39"/>
      <c r="D68" s="39">
        <v>400000.0</v>
      </c>
      <c r="E68" s="35" t="s">
        <v>3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30.0" customHeight="1">
      <c r="A69" s="37">
        <v>45665.0</v>
      </c>
      <c r="B69" s="38" t="s">
        <v>37</v>
      </c>
      <c r="C69" s="39"/>
      <c r="D69" s="39">
        <v>119800.0</v>
      </c>
      <c r="E69" s="35" t="s">
        <v>3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30.0" customHeight="1">
      <c r="A70" s="37">
        <v>45665.0</v>
      </c>
      <c r="B70" s="38" t="s">
        <v>38</v>
      </c>
      <c r="C70" s="39"/>
      <c r="D70" s="39">
        <v>69500.0</v>
      </c>
      <c r="E70" s="35" t="s">
        <v>3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30.0" customHeight="1">
      <c r="A71" s="37">
        <v>45666.0</v>
      </c>
      <c r="B71" s="38" t="s">
        <v>28</v>
      </c>
      <c r="C71" s="39" t="s">
        <v>92</v>
      </c>
      <c r="D71" s="39">
        <v>439770.1</v>
      </c>
      <c r="E71" s="35" t="s">
        <v>27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30.0" customHeight="1">
      <c r="A72" s="37">
        <v>45666.0</v>
      </c>
      <c r="B72" s="38" t="s">
        <v>93</v>
      </c>
      <c r="C72" s="39" t="s">
        <v>94</v>
      </c>
      <c r="D72" s="39">
        <v>289431.6</v>
      </c>
      <c r="E72" s="40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30.0" customHeight="1">
      <c r="A73" s="37">
        <v>45666.0</v>
      </c>
      <c r="B73" s="38" t="s">
        <v>30</v>
      </c>
      <c r="C73" s="39"/>
      <c r="D73" s="39">
        <v>200000.0</v>
      </c>
      <c r="E73" s="35" t="s">
        <v>3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30.0" customHeight="1">
      <c r="A74" s="37">
        <v>45666.0</v>
      </c>
      <c r="B74" s="38" t="s">
        <v>31</v>
      </c>
      <c r="C74" s="39" t="s">
        <v>49</v>
      </c>
      <c r="D74" s="39">
        <v>26000.0</v>
      </c>
      <c r="E74" s="35" t="s">
        <v>3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30.0" customHeight="1">
      <c r="A75" s="37">
        <v>45666.0</v>
      </c>
      <c r="B75" s="38" t="s">
        <v>35</v>
      </c>
      <c r="C75" s="39" t="s">
        <v>95</v>
      </c>
      <c r="D75" s="39">
        <v>6000.0</v>
      </c>
      <c r="E75" s="35" t="s">
        <v>3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30.0" customHeight="1">
      <c r="A76" s="37">
        <v>45666.0</v>
      </c>
      <c r="B76" s="38" t="s">
        <v>96</v>
      </c>
      <c r="C76" s="39" t="s">
        <v>97</v>
      </c>
      <c r="D76" s="39">
        <v>70800.0</v>
      </c>
      <c r="E76" s="35" t="s">
        <v>3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30.0" customHeight="1">
      <c r="A77" s="37">
        <v>45666.0</v>
      </c>
      <c r="B77" s="38" t="s">
        <v>48</v>
      </c>
      <c r="C77" s="39" t="s">
        <v>98</v>
      </c>
      <c r="D77" s="39">
        <v>252000.0</v>
      </c>
      <c r="E77" s="35" t="s">
        <v>3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30.0" customHeight="1">
      <c r="A78" s="37">
        <v>45666.0</v>
      </c>
      <c r="B78" s="38" t="s">
        <v>40</v>
      </c>
      <c r="C78" s="39" t="s">
        <v>99</v>
      </c>
      <c r="D78" s="39">
        <v>181090.52</v>
      </c>
      <c r="E78" s="35" t="s">
        <v>27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30.0" customHeight="1">
      <c r="A79" s="37">
        <v>45666.0</v>
      </c>
      <c r="B79" s="38" t="s">
        <v>37</v>
      </c>
      <c r="C79" s="39"/>
      <c r="D79" s="39">
        <v>120600.0</v>
      </c>
      <c r="E79" s="40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30.0" customHeight="1">
      <c r="A80" s="37">
        <v>45666.0</v>
      </c>
      <c r="B80" s="38" t="s">
        <v>38</v>
      </c>
      <c r="C80" s="39"/>
      <c r="D80" s="39">
        <v>75000.0</v>
      </c>
      <c r="E80" s="40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30.0" customHeight="1">
      <c r="A81" s="37">
        <v>45667.0</v>
      </c>
      <c r="B81" s="38" t="s">
        <v>42</v>
      </c>
      <c r="C81" s="39" t="s">
        <v>100</v>
      </c>
      <c r="D81" s="39">
        <v>146000.0</v>
      </c>
      <c r="E81" s="35" t="s">
        <v>3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30.0" customHeight="1">
      <c r="A82" s="37">
        <v>45667.0</v>
      </c>
      <c r="B82" s="38" t="s">
        <v>30</v>
      </c>
      <c r="C82" s="39"/>
      <c r="D82" s="39">
        <v>200000.0</v>
      </c>
      <c r="E82" s="35" t="s">
        <v>3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30.0" customHeight="1">
      <c r="A83" s="37">
        <v>45667.0</v>
      </c>
      <c r="B83" s="38" t="s">
        <v>47</v>
      </c>
      <c r="C83" s="39"/>
      <c r="D83" s="39">
        <f>116000+29000</f>
        <v>145000</v>
      </c>
      <c r="E83" s="35" t="s">
        <v>3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30.0" customHeight="1">
      <c r="A84" s="37">
        <v>45667.0</v>
      </c>
      <c r="B84" s="38" t="s">
        <v>25</v>
      </c>
      <c r="C84" s="39" t="s">
        <v>101</v>
      </c>
      <c r="D84" s="39">
        <v>362762.0</v>
      </c>
      <c r="E84" s="35" t="s">
        <v>27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30.0" customHeight="1">
      <c r="A85" s="37">
        <v>45667.0</v>
      </c>
      <c r="B85" s="38" t="s">
        <v>31</v>
      </c>
      <c r="C85" s="39" t="s">
        <v>102</v>
      </c>
      <c r="D85" s="39">
        <v>26000.0</v>
      </c>
      <c r="E85" s="35" t="s">
        <v>3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30.0" customHeight="1">
      <c r="A86" s="37">
        <v>45667.0</v>
      </c>
      <c r="B86" s="38" t="s">
        <v>35</v>
      </c>
      <c r="C86" s="39" t="s">
        <v>103</v>
      </c>
      <c r="D86" s="39">
        <v>57900.0</v>
      </c>
      <c r="E86" s="35" t="s">
        <v>3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30.0" customHeight="1">
      <c r="A87" s="37">
        <v>45667.0</v>
      </c>
      <c r="B87" s="38" t="s">
        <v>28</v>
      </c>
      <c r="C87" s="39" t="s">
        <v>104</v>
      </c>
      <c r="D87" s="39">
        <v>515345.24</v>
      </c>
      <c r="E87" s="35" t="s">
        <v>27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30.0" customHeight="1">
      <c r="A88" s="37">
        <v>45667.0</v>
      </c>
      <c r="B88" s="38" t="s">
        <v>71</v>
      </c>
      <c r="C88" s="39"/>
      <c r="D88" s="39">
        <v>17300.0</v>
      </c>
      <c r="E88" s="35" t="s">
        <v>3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30.0" customHeight="1">
      <c r="A89" s="37">
        <v>45667.0</v>
      </c>
      <c r="B89" s="38" t="s">
        <v>68</v>
      </c>
      <c r="C89" s="39"/>
      <c r="D89" s="39">
        <v>43300.0</v>
      </c>
      <c r="E89" s="35" t="s">
        <v>3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30.0" customHeight="1">
      <c r="A90" s="37">
        <v>45667.0</v>
      </c>
      <c r="B90" s="38" t="s">
        <v>37</v>
      </c>
      <c r="C90" s="39"/>
      <c r="D90" s="39">
        <v>521200.0</v>
      </c>
      <c r="E90" s="35" t="s">
        <v>3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30.0" customHeight="1">
      <c r="A91" s="37">
        <v>45667.0</v>
      </c>
      <c r="B91" s="38" t="s">
        <v>38</v>
      </c>
      <c r="C91" s="39"/>
      <c r="D91" s="39">
        <v>215880.0</v>
      </c>
      <c r="E91" s="35" t="s">
        <v>3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30.0" customHeight="1">
      <c r="A92" s="37">
        <v>45668.0</v>
      </c>
      <c r="B92" s="38" t="s">
        <v>28</v>
      </c>
      <c r="C92" s="39" t="s">
        <v>105</v>
      </c>
      <c r="D92" s="39">
        <v>457568.95</v>
      </c>
      <c r="E92" s="35" t="s">
        <v>27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30.0" customHeight="1">
      <c r="A93" s="37">
        <v>45668.0</v>
      </c>
      <c r="B93" s="38" t="s">
        <v>106</v>
      </c>
      <c r="C93" s="39" t="s">
        <v>107</v>
      </c>
      <c r="D93" s="39">
        <v>25740.0</v>
      </c>
      <c r="E93" s="4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30.0" customHeight="1">
      <c r="A94" s="37">
        <v>45668.0</v>
      </c>
      <c r="B94" s="38" t="s">
        <v>59</v>
      </c>
      <c r="C94" s="39" t="s">
        <v>108</v>
      </c>
      <c r="D94" s="39">
        <v>69150.0</v>
      </c>
      <c r="E94" s="35" t="s">
        <v>3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30.0" customHeight="1">
      <c r="A95" s="37">
        <v>45668.0</v>
      </c>
      <c r="B95" s="38" t="s">
        <v>33</v>
      </c>
      <c r="C95" s="39" t="s">
        <v>109</v>
      </c>
      <c r="D95" s="39">
        <v>77109.24</v>
      </c>
      <c r="E95" s="35" t="s">
        <v>27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30.0" customHeight="1">
      <c r="A96" s="37">
        <v>45668.0</v>
      </c>
      <c r="B96" s="38" t="s">
        <v>82</v>
      </c>
      <c r="C96" s="39" t="s">
        <v>110</v>
      </c>
      <c r="D96" s="39">
        <v>179900.0</v>
      </c>
      <c r="E96" s="35" t="s">
        <v>3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30.0" customHeight="1">
      <c r="A97" s="37">
        <v>45668.0</v>
      </c>
      <c r="B97" s="38" t="s">
        <v>37</v>
      </c>
      <c r="C97" s="39"/>
      <c r="D97" s="39">
        <v>392800.0</v>
      </c>
      <c r="E97" s="35" t="s">
        <v>3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30.0" customHeight="1">
      <c r="A98" s="37">
        <v>45670.0</v>
      </c>
      <c r="B98" s="38" t="s">
        <v>91</v>
      </c>
      <c r="C98" s="39" t="s">
        <v>111</v>
      </c>
      <c r="D98" s="39">
        <v>43150.0</v>
      </c>
      <c r="E98" s="35" t="s">
        <v>3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30.0" customHeight="1">
      <c r="A99" s="37">
        <v>45670.0</v>
      </c>
      <c r="B99" s="38" t="s">
        <v>28</v>
      </c>
      <c r="C99" s="39" t="s">
        <v>112</v>
      </c>
      <c r="D99" s="39">
        <v>282507.73</v>
      </c>
      <c r="E99" s="35" t="s">
        <v>27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30.0" customHeight="1">
      <c r="A100" s="37">
        <v>45670.0</v>
      </c>
      <c r="B100" s="38" t="s">
        <v>78</v>
      </c>
      <c r="C100" s="39"/>
      <c r="D100" s="39">
        <v>13000.0</v>
      </c>
      <c r="E100" s="35" t="s">
        <v>3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30.0" customHeight="1">
      <c r="A101" s="37">
        <v>45670.0</v>
      </c>
      <c r="B101" s="38" t="s">
        <v>47</v>
      </c>
      <c r="C101" s="39"/>
      <c r="D101" s="39">
        <v>58000.0</v>
      </c>
      <c r="E101" s="35" t="s">
        <v>3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30.0" customHeight="1">
      <c r="A102" s="37">
        <v>45670.0</v>
      </c>
      <c r="B102" s="38" t="s">
        <v>31</v>
      </c>
      <c r="C102" s="39" t="s">
        <v>113</v>
      </c>
      <c r="D102" s="39">
        <v>26000.0</v>
      </c>
      <c r="E102" s="35" t="s">
        <v>3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30.0" customHeight="1">
      <c r="A103" s="37">
        <v>45670.0</v>
      </c>
      <c r="B103" s="38" t="s">
        <v>114</v>
      </c>
      <c r="C103" s="39"/>
      <c r="D103" s="39">
        <v>5000.0</v>
      </c>
      <c r="E103" s="35" t="s">
        <v>3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30.0" customHeight="1">
      <c r="A104" s="37">
        <v>45670.0</v>
      </c>
      <c r="B104" s="38" t="s">
        <v>50</v>
      </c>
      <c r="C104" s="39" t="s">
        <v>115</v>
      </c>
      <c r="D104" s="39">
        <v>60600.0</v>
      </c>
      <c r="E104" s="35" t="s">
        <v>3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30.0" customHeight="1">
      <c r="A105" s="37">
        <v>45670.0</v>
      </c>
      <c r="B105" s="38" t="s">
        <v>33</v>
      </c>
      <c r="C105" s="39" t="s">
        <v>116</v>
      </c>
      <c r="D105" s="39">
        <v>74000.0</v>
      </c>
      <c r="E105" s="35" t="s">
        <v>27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30.0" customHeight="1">
      <c r="A106" s="37">
        <v>45670.0</v>
      </c>
      <c r="B106" s="38" t="s">
        <v>117</v>
      </c>
      <c r="C106" s="39"/>
      <c r="D106" s="39">
        <v>25000.0</v>
      </c>
      <c r="E106" s="35" t="s">
        <v>3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30.0" customHeight="1">
      <c r="A107" s="37">
        <v>45670.0</v>
      </c>
      <c r="B107" s="38" t="s">
        <v>59</v>
      </c>
      <c r="C107" s="39" t="s">
        <v>118</v>
      </c>
      <c r="D107" s="39">
        <v>205150.0</v>
      </c>
      <c r="E107" s="35" t="s">
        <v>3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30.0" customHeight="1">
      <c r="A108" s="37">
        <v>45670.0</v>
      </c>
      <c r="B108" s="38" t="s">
        <v>52</v>
      </c>
      <c r="C108" s="39" t="s">
        <v>119</v>
      </c>
      <c r="D108" s="39">
        <v>46000.0</v>
      </c>
      <c r="E108" s="35" t="s">
        <v>3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30.0" customHeight="1">
      <c r="A109" s="37">
        <v>45670.0</v>
      </c>
      <c r="B109" s="38" t="s">
        <v>37</v>
      </c>
      <c r="C109" s="39"/>
      <c r="D109" s="39">
        <v>199700.0</v>
      </c>
      <c r="E109" s="35" t="s">
        <v>3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30.0" customHeight="1">
      <c r="A110" s="37">
        <v>45670.0</v>
      </c>
      <c r="B110" s="38" t="s">
        <v>38</v>
      </c>
      <c r="C110" s="39"/>
      <c r="D110" s="39">
        <v>73000.0</v>
      </c>
      <c r="E110" s="35" t="s">
        <v>3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30.0" customHeight="1">
      <c r="A111" s="37">
        <v>45671.0</v>
      </c>
      <c r="B111" s="38" t="s">
        <v>30</v>
      </c>
      <c r="C111" s="39"/>
      <c r="D111" s="39">
        <v>300000.0</v>
      </c>
      <c r="E111" s="35" t="s">
        <v>3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30.0" customHeight="1">
      <c r="A112" s="37">
        <v>45671.0</v>
      </c>
      <c r="B112" s="38" t="s">
        <v>40</v>
      </c>
      <c r="C112" s="39" t="s">
        <v>120</v>
      </c>
      <c r="D112" s="39">
        <v>213104.75</v>
      </c>
      <c r="E112" s="35" t="s">
        <v>27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30.0" customHeight="1">
      <c r="A113" s="37">
        <v>45671.0</v>
      </c>
      <c r="B113" s="38" t="s">
        <v>31</v>
      </c>
      <c r="C113" s="39" t="s">
        <v>121</v>
      </c>
      <c r="D113" s="39">
        <v>26000.0</v>
      </c>
      <c r="E113" s="35" t="s">
        <v>3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30.0" customHeight="1">
      <c r="A114" s="37">
        <v>45671.0</v>
      </c>
      <c r="B114" s="38" t="s">
        <v>25</v>
      </c>
      <c r="C114" s="39" t="s">
        <v>122</v>
      </c>
      <c r="D114" s="39">
        <v>411308.0</v>
      </c>
      <c r="E114" s="35" t="s">
        <v>27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30.0" customHeight="1">
      <c r="A115" s="37">
        <v>45671.0</v>
      </c>
      <c r="B115" s="38" t="s">
        <v>33</v>
      </c>
      <c r="C115" s="39" t="s">
        <v>123</v>
      </c>
      <c r="D115" s="39">
        <v>204166.68</v>
      </c>
      <c r="E115" s="35" t="s">
        <v>27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30.0" customHeight="1">
      <c r="A116" s="37">
        <v>45671.0</v>
      </c>
      <c r="B116" s="38" t="s">
        <v>48</v>
      </c>
      <c r="C116" s="39" t="s">
        <v>124</v>
      </c>
      <c r="D116" s="39">
        <v>252000.0</v>
      </c>
      <c r="E116" s="35" t="s">
        <v>3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30.0" customHeight="1">
      <c r="A117" s="37">
        <v>45671.0</v>
      </c>
      <c r="B117" s="38" t="s">
        <v>125</v>
      </c>
      <c r="C117" s="39" t="s">
        <v>126</v>
      </c>
      <c r="D117" s="39">
        <v>42000.0</v>
      </c>
      <c r="E117" s="35" t="s">
        <v>3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30.0" customHeight="1">
      <c r="A118" s="37">
        <v>45671.0</v>
      </c>
      <c r="B118" s="38" t="s">
        <v>127</v>
      </c>
      <c r="C118" s="39"/>
      <c r="D118" s="39">
        <v>32500.0</v>
      </c>
      <c r="E118" s="35" t="s">
        <v>3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30.0" customHeight="1">
      <c r="A119" s="37">
        <v>45671.0</v>
      </c>
      <c r="B119" s="38" t="s">
        <v>37</v>
      </c>
      <c r="C119" s="39"/>
      <c r="D119" s="39">
        <v>165900.0</v>
      </c>
      <c r="E119" s="35" t="s">
        <v>3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30.0" customHeight="1">
      <c r="A120" s="37">
        <v>45671.0</v>
      </c>
      <c r="B120" s="38" t="s">
        <v>38</v>
      </c>
      <c r="C120" s="39"/>
      <c r="D120" s="39">
        <v>55500.0</v>
      </c>
      <c r="E120" s="35" t="s">
        <v>3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30.0" customHeight="1">
      <c r="A121" s="37">
        <v>45672.0</v>
      </c>
      <c r="B121" s="38" t="s">
        <v>40</v>
      </c>
      <c r="C121" s="39" t="s">
        <v>128</v>
      </c>
      <c r="D121" s="39">
        <v>171812.0</v>
      </c>
      <c r="E121" s="35" t="s">
        <v>27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30.0" customHeight="1">
      <c r="A122" s="37">
        <v>45672.0</v>
      </c>
      <c r="B122" s="38" t="s">
        <v>31</v>
      </c>
      <c r="C122" s="39" t="s">
        <v>129</v>
      </c>
      <c r="D122" s="39">
        <v>26000.0</v>
      </c>
      <c r="E122" s="35" t="s">
        <v>3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30.0" customHeight="1">
      <c r="A123" s="37">
        <v>45672.0</v>
      </c>
      <c r="B123" s="38" t="s">
        <v>30</v>
      </c>
      <c r="C123" s="39"/>
      <c r="D123" s="39">
        <v>100000.0</v>
      </c>
      <c r="E123" s="35" t="s">
        <v>3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30.0" customHeight="1">
      <c r="A124" s="37">
        <v>45672.0</v>
      </c>
      <c r="B124" s="38" t="s">
        <v>47</v>
      </c>
      <c r="C124" s="39"/>
      <c r="D124" s="39">
        <v>58000.0</v>
      </c>
      <c r="E124" s="35" t="s">
        <v>3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30.0" customHeight="1">
      <c r="A125" s="37">
        <v>45672.0</v>
      </c>
      <c r="B125" s="38" t="s">
        <v>59</v>
      </c>
      <c r="C125" s="39" t="s">
        <v>130</v>
      </c>
      <c r="D125" s="39">
        <v>69150.0</v>
      </c>
      <c r="E125" s="35" t="s">
        <v>3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30.0" customHeight="1">
      <c r="A126" s="37">
        <v>45672.0</v>
      </c>
      <c r="B126" s="38" t="s">
        <v>28</v>
      </c>
      <c r="C126" s="39" t="s">
        <v>131</v>
      </c>
      <c r="D126" s="39">
        <v>536180.76</v>
      </c>
      <c r="E126" s="35" t="s">
        <v>27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30.0" customHeight="1">
      <c r="A127" s="37">
        <v>45672.0</v>
      </c>
      <c r="B127" s="38" t="s">
        <v>93</v>
      </c>
      <c r="C127" s="39" t="s">
        <v>132</v>
      </c>
      <c r="D127" s="39">
        <v>338339.0</v>
      </c>
      <c r="E127" s="35" t="s">
        <v>27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30.0" customHeight="1">
      <c r="A128" s="37">
        <v>45672.0</v>
      </c>
      <c r="B128" s="38" t="s">
        <v>33</v>
      </c>
      <c r="C128" s="39" t="s">
        <v>133</v>
      </c>
      <c r="D128" s="39">
        <v>74000.0</v>
      </c>
      <c r="E128" s="35" t="s">
        <v>27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30.0" customHeight="1">
      <c r="A129" s="37">
        <v>45672.0</v>
      </c>
      <c r="B129" s="38" t="s">
        <v>48</v>
      </c>
      <c r="C129" s="39" t="s">
        <v>134</v>
      </c>
      <c r="D129" s="39">
        <v>252000.0</v>
      </c>
      <c r="E129" s="35" t="s">
        <v>3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30.0" customHeight="1">
      <c r="A130" s="37">
        <v>45672.0</v>
      </c>
      <c r="B130" s="38" t="s">
        <v>50</v>
      </c>
      <c r="C130" s="39" t="s">
        <v>135</v>
      </c>
      <c r="D130" s="39">
        <v>50600.0</v>
      </c>
      <c r="E130" s="35" t="s">
        <v>3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30.0" customHeight="1">
      <c r="A131" s="37">
        <v>45672.0</v>
      </c>
      <c r="B131" s="38" t="s">
        <v>37</v>
      </c>
      <c r="C131" s="39"/>
      <c r="D131" s="39">
        <v>138200.0</v>
      </c>
      <c r="E131" s="35" t="s">
        <v>3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30.0" customHeight="1">
      <c r="A132" s="37">
        <v>45672.0</v>
      </c>
      <c r="B132" s="38" t="s">
        <v>38</v>
      </c>
      <c r="C132" s="39"/>
      <c r="D132" s="39">
        <v>74400.0</v>
      </c>
      <c r="E132" s="35" t="s">
        <v>3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30.0" customHeight="1">
      <c r="A133" s="37">
        <v>45673.0</v>
      </c>
      <c r="B133" s="38" t="s">
        <v>28</v>
      </c>
      <c r="C133" s="39" t="s">
        <v>136</v>
      </c>
      <c r="D133" s="39">
        <v>411828.83</v>
      </c>
      <c r="E133" s="35" t="s">
        <v>27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30.0" customHeight="1">
      <c r="A134" s="37">
        <v>45673.0</v>
      </c>
      <c r="B134" s="38" t="s">
        <v>55</v>
      </c>
      <c r="C134" s="39" t="s">
        <v>137</v>
      </c>
      <c r="D134" s="39">
        <v>63000.0</v>
      </c>
      <c r="E134" s="35" t="s">
        <v>3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30.0" customHeight="1">
      <c r="A135" s="37">
        <v>45673.0</v>
      </c>
      <c r="B135" s="38" t="s">
        <v>106</v>
      </c>
      <c r="C135" s="39" t="s">
        <v>107</v>
      </c>
      <c r="D135" s="39">
        <v>25000.0</v>
      </c>
      <c r="E135" s="35" t="s">
        <v>3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30.0" customHeight="1">
      <c r="A136" s="37">
        <v>45673.0</v>
      </c>
      <c r="B136" s="38" t="s">
        <v>25</v>
      </c>
      <c r="C136" s="39" t="s">
        <v>138</v>
      </c>
      <c r="D136" s="39">
        <v>363642.0</v>
      </c>
      <c r="E136" s="35" t="s">
        <v>27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30.0" customHeight="1">
      <c r="A137" s="37">
        <v>45673.0</v>
      </c>
      <c r="B137" s="38" t="s">
        <v>78</v>
      </c>
      <c r="C137" s="39"/>
      <c r="D137" s="39">
        <v>15600.0</v>
      </c>
      <c r="E137" s="35" t="s">
        <v>3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30.0" customHeight="1">
      <c r="A138" s="37">
        <v>45673.0</v>
      </c>
      <c r="B138" s="38" t="s">
        <v>68</v>
      </c>
      <c r="C138" s="39" t="s">
        <v>139</v>
      </c>
      <c r="D138" s="39">
        <v>42500.0</v>
      </c>
      <c r="E138" s="35" t="s">
        <v>3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30.0" customHeight="1">
      <c r="A139" s="37">
        <v>45673.0</v>
      </c>
      <c r="B139" s="38" t="s">
        <v>80</v>
      </c>
      <c r="C139" s="39" t="s">
        <v>140</v>
      </c>
      <c r="D139" s="39">
        <v>122000.0</v>
      </c>
      <c r="E139" s="35" t="s">
        <v>3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30.0" customHeight="1">
      <c r="A140" s="37">
        <v>45673.0</v>
      </c>
      <c r="B140" s="38" t="s">
        <v>82</v>
      </c>
      <c r="C140" s="39"/>
      <c r="D140" s="39">
        <v>87600.0</v>
      </c>
      <c r="E140" s="35" t="s">
        <v>3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30.0" customHeight="1">
      <c r="A141" s="37">
        <v>45673.0</v>
      </c>
      <c r="B141" s="38" t="s">
        <v>52</v>
      </c>
      <c r="C141" s="39"/>
      <c r="D141" s="39">
        <v>17000.0</v>
      </c>
      <c r="E141" s="35" t="s">
        <v>3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30.0" customHeight="1">
      <c r="A142" s="37">
        <v>45673.0</v>
      </c>
      <c r="B142" s="38" t="s">
        <v>37</v>
      </c>
      <c r="C142" s="39"/>
      <c r="D142" s="39">
        <v>191700.0</v>
      </c>
      <c r="E142" s="35" t="s">
        <v>3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30.0" customHeight="1">
      <c r="A143" s="37">
        <v>45673.0</v>
      </c>
      <c r="B143" s="38" t="s">
        <v>38</v>
      </c>
      <c r="C143" s="39"/>
      <c r="D143" s="39">
        <v>72150.0</v>
      </c>
      <c r="E143" s="35" t="s">
        <v>3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30.0" customHeight="1">
      <c r="A144" s="37">
        <v>45674.0</v>
      </c>
      <c r="B144" s="38" t="s">
        <v>40</v>
      </c>
      <c r="C144" s="39" t="s">
        <v>141</v>
      </c>
      <c r="D144" s="39">
        <v>220465.86</v>
      </c>
      <c r="E144" s="35" t="s">
        <v>27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30.0" customHeight="1">
      <c r="A145" s="37">
        <v>45674.0</v>
      </c>
      <c r="B145" s="38" t="s">
        <v>31</v>
      </c>
      <c r="C145" s="39" t="s">
        <v>142</v>
      </c>
      <c r="D145" s="39">
        <v>14000.0</v>
      </c>
      <c r="E145" s="35" t="s">
        <v>3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30.0" customHeight="1">
      <c r="A146" s="37">
        <v>45674.0</v>
      </c>
      <c r="B146" s="38" t="s">
        <v>28</v>
      </c>
      <c r="C146" s="39" t="s">
        <v>143</v>
      </c>
      <c r="D146" s="39">
        <v>493057.79</v>
      </c>
      <c r="E146" s="35" t="s">
        <v>27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30.0" customHeight="1">
      <c r="A147" s="37">
        <v>45674.0</v>
      </c>
      <c r="B147" s="38" t="s">
        <v>59</v>
      </c>
      <c r="C147" s="39" t="s">
        <v>144</v>
      </c>
      <c r="D147" s="39">
        <v>69150.0</v>
      </c>
      <c r="E147" s="35" t="s">
        <v>3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30.0" customHeight="1">
      <c r="A148" s="37">
        <v>45674.0</v>
      </c>
      <c r="B148" s="38" t="s">
        <v>47</v>
      </c>
      <c r="C148" s="39"/>
      <c r="D148" s="39">
        <v>87000.0</v>
      </c>
      <c r="E148" s="35" t="s">
        <v>3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30.0" customHeight="1">
      <c r="A149" s="37">
        <v>45674.0</v>
      </c>
      <c r="B149" s="38" t="s">
        <v>33</v>
      </c>
      <c r="C149" s="39" t="s">
        <v>145</v>
      </c>
      <c r="D149" s="39">
        <v>119124.86</v>
      </c>
      <c r="E149" s="35" t="s">
        <v>27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30.0" customHeight="1">
      <c r="A150" s="37">
        <v>45674.0</v>
      </c>
      <c r="B150" s="38" t="s">
        <v>33</v>
      </c>
      <c r="C150" s="39" t="s">
        <v>146</v>
      </c>
      <c r="D150" s="39">
        <v>76.0</v>
      </c>
      <c r="E150" s="35" t="s">
        <v>27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30.0" customHeight="1">
      <c r="A151" s="37">
        <v>45674.0</v>
      </c>
      <c r="B151" s="38" t="s">
        <v>71</v>
      </c>
      <c r="C151" s="39"/>
      <c r="D151" s="39">
        <v>17300.0</v>
      </c>
      <c r="E151" s="35" t="s">
        <v>3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30.0" customHeight="1">
      <c r="A152" s="37">
        <v>45674.0</v>
      </c>
      <c r="B152" s="38" t="s">
        <v>50</v>
      </c>
      <c r="C152" s="39" t="s">
        <v>147</v>
      </c>
      <c r="D152" s="39">
        <v>60900.0</v>
      </c>
      <c r="E152" s="35" t="s">
        <v>3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30.0" customHeight="1">
      <c r="A153" s="37">
        <v>45674.0</v>
      </c>
      <c r="B153" s="38" t="s">
        <v>48</v>
      </c>
      <c r="C153" s="39" t="s">
        <v>148</v>
      </c>
      <c r="D153" s="39">
        <v>252000.0</v>
      </c>
      <c r="E153" s="35" t="s">
        <v>3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30.0" customHeight="1">
      <c r="A154" s="37">
        <v>45674.0</v>
      </c>
      <c r="B154" s="38" t="s">
        <v>37</v>
      </c>
      <c r="C154" s="39"/>
      <c r="D154" s="39">
        <v>381100.0</v>
      </c>
      <c r="E154" s="35" t="s">
        <v>3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30.0" customHeight="1">
      <c r="A155" s="37">
        <v>45674.0</v>
      </c>
      <c r="B155" s="38" t="s">
        <v>38</v>
      </c>
      <c r="C155" s="39"/>
      <c r="D155" s="39">
        <v>393000.0</v>
      </c>
      <c r="E155" s="35" t="s">
        <v>3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30.0" customHeight="1">
      <c r="A156" s="37">
        <v>45675.0</v>
      </c>
      <c r="B156" s="38" t="s">
        <v>93</v>
      </c>
      <c r="C156" s="39" t="s">
        <v>149</v>
      </c>
      <c r="D156" s="39">
        <v>316183.69</v>
      </c>
      <c r="E156" s="35" t="s">
        <v>27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30.0" customHeight="1">
      <c r="A157" s="37">
        <v>45675.0</v>
      </c>
      <c r="B157" s="38" t="s">
        <v>28</v>
      </c>
      <c r="C157" s="39" t="s">
        <v>150</v>
      </c>
      <c r="D157" s="39">
        <v>326365.86</v>
      </c>
      <c r="E157" s="35" t="s">
        <v>27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30.0" customHeight="1">
      <c r="A158" s="37">
        <v>45675.0</v>
      </c>
      <c r="B158" s="38" t="s">
        <v>151</v>
      </c>
      <c r="C158" s="39" t="s">
        <v>152</v>
      </c>
      <c r="D158" s="39">
        <v>259300.0</v>
      </c>
      <c r="E158" s="35" t="s">
        <v>3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30.0" customHeight="1">
      <c r="A159" s="37">
        <v>45675.0</v>
      </c>
      <c r="B159" s="38" t="s">
        <v>68</v>
      </c>
      <c r="C159" s="39" t="s">
        <v>153</v>
      </c>
      <c r="D159" s="39">
        <v>59800.0</v>
      </c>
      <c r="E159" s="35" t="s">
        <v>3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30.0" customHeight="1">
      <c r="A160" s="37">
        <v>45675.0</v>
      </c>
      <c r="B160" s="38" t="s">
        <v>42</v>
      </c>
      <c r="C160" s="39" t="s">
        <v>154</v>
      </c>
      <c r="D160" s="39">
        <v>145899.72</v>
      </c>
      <c r="E160" s="35" t="s">
        <v>27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30.0" customHeight="1">
      <c r="A161" s="37">
        <v>45675.0</v>
      </c>
      <c r="B161" s="38" t="s">
        <v>62</v>
      </c>
      <c r="C161" s="39"/>
      <c r="D161" s="39">
        <v>35000.0</v>
      </c>
      <c r="E161" s="35" t="s">
        <v>3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30.0" customHeight="1">
      <c r="A162" s="37">
        <v>45675.0</v>
      </c>
      <c r="B162" s="38" t="s">
        <v>37</v>
      </c>
      <c r="C162" s="39"/>
      <c r="D162" s="39">
        <v>236600.0</v>
      </c>
      <c r="E162" s="35" t="s">
        <v>3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30.0" customHeight="1">
      <c r="A163" s="37">
        <v>45677.0</v>
      </c>
      <c r="B163" s="38" t="s">
        <v>28</v>
      </c>
      <c r="C163" s="39" t="s">
        <v>155</v>
      </c>
      <c r="D163" s="39">
        <v>474584.99</v>
      </c>
      <c r="E163" s="35" t="s">
        <v>27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30.0" customHeight="1">
      <c r="A164" s="37">
        <v>45677.0</v>
      </c>
      <c r="B164" s="38" t="s">
        <v>47</v>
      </c>
      <c r="C164" s="39"/>
      <c r="D164" s="39">
        <v>87000.0</v>
      </c>
      <c r="E164" s="35" t="s">
        <v>3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30.0" customHeight="1">
      <c r="A165" s="37">
        <v>45677.0</v>
      </c>
      <c r="B165" s="38" t="s">
        <v>31</v>
      </c>
      <c r="C165" s="39" t="s">
        <v>156</v>
      </c>
      <c r="D165" s="39">
        <v>28000.0</v>
      </c>
      <c r="E165" s="35" t="s">
        <v>3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30.0" customHeight="1">
      <c r="A166" s="37">
        <v>45677.0</v>
      </c>
      <c r="B166" s="38" t="s">
        <v>50</v>
      </c>
      <c r="C166" s="39" t="s">
        <v>157</v>
      </c>
      <c r="D166" s="39">
        <v>50300.0</v>
      </c>
      <c r="E166" s="35" t="s">
        <v>3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30.0" customHeight="1">
      <c r="A167" s="37">
        <v>45677.0</v>
      </c>
      <c r="B167" s="38" t="s">
        <v>78</v>
      </c>
      <c r="C167" s="39"/>
      <c r="D167" s="39">
        <v>19500.0</v>
      </c>
      <c r="E167" s="35" t="s">
        <v>3</v>
      </c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30.0" customHeight="1">
      <c r="A168" s="37">
        <v>45677.0</v>
      </c>
      <c r="B168" s="38" t="s">
        <v>52</v>
      </c>
      <c r="C168" s="39"/>
      <c r="D168" s="39">
        <v>56000.0</v>
      </c>
      <c r="E168" s="35" t="s">
        <v>3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30.0" customHeight="1">
      <c r="A169" s="37">
        <v>45677.0</v>
      </c>
      <c r="B169" s="38" t="s">
        <v>37</v>
      </c>
      <c r="C169" s="39"/>
      <c r="D169" s="39">
        <v>133100.0</v>
      </c>
      <c r="E169" s="35" t="s">
        <v>3</v>
      </c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30.0" customHeight="1">
      <c r="A170" s="37">
        <v>45677.0</v>
      </c>
      <c r="B170" s="38" t="s">
        <v>38</v>
      </c>
      <c r="C170" s="39"/>
      <c r="D170" s="39">
        <v>49500.0</v>
      </c>
      <c r="E170" s="35" t="s">
        <v>3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30.0" customHeight="1">
      <c r="A171" s="37">
        <v>45678.0</v>
      </c>
      <c r="B171" s="38" t="s">
        <v>30</v>
      </c>
      <c r="C171" s="39"/>
      <c r="D171" s="39">
        <v>500000.0</v>
      </c>
      <c r="E171" s="35" t="s">
        <v>3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30.0" customHeight="1">
      <c r="A172" s="37">
        <v>45678.0</v>
      </c>
      <c r="B172" s="38" t="s">
        <v>158</v>
      </c>
      <c r="C172" s="39" t="s">
        <v>159</v>
      </c>
      <c r="D172" s="39">
        <v>28000.0</v>
      </c>
      <c r="E172" s="35" t="s">
        <v>3</v>
      </c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30.0" customHeight="1">
      <c r="A173" s="37">
        <v>45678.0</v>
      </c>
      <c r="B173" s="38" t="s">
        <v>33</v>
      </c>
      <c r="C173" s="39" t="s">
        <v>160</v>
      </c>
      <c r="D173" s="39">
        <v>288551.63</v>
      </c>
      <c r="E173" s="35" t="s">
        <v>27</v>
      </c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30.0" customHeight="1">
      <c r="A174" s="37">
        <v>45678.0</v>
      </c>
      <c r="B174" s="38" t="s">
        <v>28</v>
      </c>
      <c r="C174" s="39" t="s">
        <v>161</v>
      </c>
      <c r="D174" s="39">
        <v>489299.99</v>
      </c>
      <c r="E174" s="35" t="s">
        <v>27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30.0" customHeight="1">
      <c r="A175" s="37">
        <v>45678.0</v>
      </c>
      <c r="B175" s="38" t="s">
        <v>162</v>
      </c>
      <c r="C175" s="39" t="s">
        <v>163</v>
      </c>
      <c r="D175" s="39">
        <v>324800.0</v>
      </c>
      <c r="E175" s="35" t="s">
        <v>27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30.0" customHeight="1">
      <c r="A176" s="37">
        <v>45678.0</v>
      </c>
      <c r="B176" s="38" t="s">
        <v>48</v>
      </c>
      <c r="C176" s="39" t="s">
        <v>164</v>
      </c>
      <c r="D176" s="39">
        <v>152000.0</v>
      </c>
      <c r="E176" s="35" t="s">
        <v>3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30.0" customHeight="1">
      <c r="A177" s="37">
        <v>45678.0</v>
      </c>
      <c r="B177" s="38" t="s">
        <v>25</v>
      </c>
      <c r="C177" s="39" t="s">
        <v>108</v>
      </c>
      <c r="D177" s="39">
        <v>420252.0</v>
      </c>
      <c r="E177" s="35" t="s">
        <v>27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30.0" customHeight="1">
      <c r="A178" s="37">
        <v>45678.0</v>
      </c>
      <c r="B178" s="38" t="s">
        <v>91</v>
      </c>
      <c r="C178" s="39"/>
      <c r="D178" s="39">
        <v>500000.0</v>
      </c>
      <c r="E178" s="35" t="s">
        <v>3</v>
      </c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30.0" customHeight="1">
      <c r="A179" s="37">
        <v>45678.0</v>
      </c>
      <c r="B179" s="38" t="s">
        <v>82</v>
      </c>
      <c r="C179" s="39" t="s">
        <v>165</v>
      </c>
      <c r="D179" s="39">
        <v>146000.0</v>
      </c>
      <c r="E179" s="35" t="s">
        <v>3</v>
      </c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30.0" customHeight="1">
      <c r="A180" s="37">
        <v>45678.0</v>
      </c>
      <c r="B180" s="38" t="s">
        <v>37</v>
      </c>
      <c r="C180" s="39"/>
      <c r="D180" s="39">
        <v>144800.0</v>
      </c>
      <c r="E180" s="35" t="s">
        <v>3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30.0" customHeight="1">
      <c r="A181" s="37">
        <v>45678.0</v>
      </c>
      <c r="B181" s="38" t="s">
        <v>38</v>
      </c>
      <c r="C181" s="39"/>
      <c r="D181" s="39">
        <v>75100.0</v>
      </c>
      <c r="E181" s="35" t="s">
        <v>3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30.0" customHeight="1">
      <c r="A182" s="37">
        <v>45679.0</v>
      </c>
      <c r="B182" s="38" t="s">
        <v>28</v>
      </c>
      <c r="C182" s="39" t="s">
        <v>86</v>
      </c>
      <c r="D182" s="39">
        <v>484530.0</v>
      </c>
      <c r="E182" s="35" t="s">
        <v>27</v>
      </c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30.0" customHeight="1">
      <c r="A183" s="37">
        <v>45679.0</v>
      </c>
      <c r="B183" s="38" t="s">
        <v>31</v>
      </c>
      <c r="C183" s="39" t="s">
        <v>166</v>
      </c>
      <c r="D183" s="39">
        <v>21000.0</v>
      </c>
      <c r="E183" s="35" t="s">
        <v>3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30.0" customHeight="1">
      <c r="A184" s="37">
        <v>45679.0</v>
      </c>
      <c r="B184" s="38" t="s">
        <v>35</v>
      </c>
      <c r="C184" s="39" t="s">
        <v>167</v>
      </c>
      <c r="D184" s="39">
        <v>22000.0</v>
      </c>
      <c r="E184" s="35" t="s">
        <v>3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30.0" customHeight="1">
      <c r="A185" s="37">
        <v>45679.0</v>
      </c>
      <c r="B185" s="38" t="s">
        <v>47</v>
      </c>
      <c r="C185" s="39"/>
      <c r="D185" s="39">
        <v>58000.0</v>
      </c>
      <c r="E185" s="35" t="s">
        <v>3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30.0" customHeight="1">
      <c r="A186" s="37">
        <v>45679.0</v>
      </c>
      <c r="B186" s="38" t="s">
        <v>59</v>
      </c>
      <c r="C186" s="39" t="s">
        <v>168</v>
      </c>
      <c r="D186" s="39">
        <v>142000.0</v>
      </c>
      <c r="E186" s="35" t="s">
        <v>3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30.0" customHeight="1">
      <c r="A187" s="37">
        <v>45679.0</v>
      </c>
      <c r="B187" s="38" t="s">
        <v>169</v>
      </c>
      <c r="C187" s="39"/>
      <c r="D187" s="39">
        <v>191020.0</v>
      </c>
      <c r="E187" s="35" t="s">
        <v>3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30.0" customHeight="1">
      <c r="A188" s="37">
        <v>45679.0</v>
      </c>
      <c r="B188" s="38" t="s">
        <v>71</v>
      </c>
      <c r="C188" s="39"/>
      <c r="D188" s="39">
        <v>26960.0</v>
      </c>
      <c r="E188" s="35" t="s">
        <v>3</v>
      </c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30.0" customHeight="1">
      <c r="A189" s="37">
        <v>45679.0</v>
      </c>
      <c r="B189" s="38" t="s">
        <v>48</v>
      </c>
      <c r="C189" s="39" t="s">
        <v>170</v>
      </c>
      <c r="D189" s="39">
        <v>100000.0</v>
      </c>
      <c r="E189" s="35" t="s">
        <v>3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30.0" customHeight="1">
      <c r="A190" s="37">
        <v>45679.0</v>
      </c>
      <c r="B190" s="38" t="s">
        <v>50</v>
      </c>
      <c r="C190" s="39" t="s">
        <v>171</v>
      </c>
      <c r="D190" s="39">
        <v>40600.0</v>
      </c>
      <c r="E190" s="35" t="s">
        <v>3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30.0" customHeight="1">
      <c r="A191" s="37">
        <v>45679.0</v>
      </c>
      <c r="B191" s="38" t="s">
        <v>172</v>
      </c>
      <c r="C191" s="39" t="s">
        <v>173</v>
      </c>
      <c r="D191" s="39">
        <v>37000.0</v>
      </c>
      <c r="E191" s="35" t="s">
        <v>3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30.0" customHeight="1">
      <c r="A192" s="37">
        <v>45679.0</v>
      </c>
      <c r="B192" s="38" t="s">
        <v>37</v>
      </c>
      <c r="C192" s="39"/>
      <c r="D192" s="39">
        <v>192000.0</v>
      </c>
      <c r="E192" s="35" t="s">
        <v>3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30.0" customHeight="1">
      <c r="A193" s="37">
        <v>45679.0</v>
      </c>
      <c r="B193" s="38" t="s">
        <v>38</v>
      </c>
      <c r="C193" s="39"/>
      <c r="D193" s="39">
        <v>103000.0</v>
      </c>
      <c r="E193" s="35" t="s">
        <v>3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30.0" customHeight="1">
      <c r="A194" s="37">
        <v>45680.0</v>
      </c>
      <c r="B194" s="38" t="s">
        <v>31</v>
      </c>
      <c r="C194" s="39" t="s">
        <v>87</v>
      </c>
      <c r="D194" s="39">
        <v>21000.0</v>
      </c>
      <c r="E194" s="35" t="s">
        <v>3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30.0" customHeight="1">
      <c r="A195" s="37">
        <v>45680.0</v>
      </c>
      <c r="B195" s="38" t="s">
        <v>28</v>
      </c>
      <c r="C195" s="39" t="s">
        <v>174</v>
      </c>
      <c r="D195" s="39">
        <v>548610.01</v>
      </c>
      <c r="E195" s="35" t="s">
        <v>27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30.0" customHeight="1">
      <c r="A196" s="37">
        <v>45680.0</v>
      </c>
      <c r="B196" s="38" t="s">
        <v>93</v>
      </c>
      <c r="C196" s="39" t="s">
        <v>175</v>
      </c>
      <c r="D196" s="39">
        <v>128420.0</v>
      </c>
      <c r="E196" s="35" t="s">
        <v>3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30.0" customHeight="1">
      <c r="A197" s="37">
        <v>45680.0</v>
      </c>
      <c r="B197" s="38" t="s">
        <v>78</v>
      </c>
      <c r="C197" s="39"/>
      <c r="D197" s="39">
        <v>19500.0</v>
      </c>
      <c r="E197" s="35" t="s">
        <v>3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30.0" customHeight="1">
      <c r="A198" s="37">
        <v>45680.0</v>
      </c>
      <c r="B198" s="38" t="s">
        <v>48</v>
      </c>
      <c r="C198" s="39" t="s">
        <v>90</v>
      </c>
      <c r="D198" s="39">
        <v>252000.0</v>
      </c>
      <c r="E198" s="35" t="s">
        <v>3</v>
      </c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30.0" customHeight="1">
      <c r="A199" s="37">
        <v>45680.0</v>
      </c>
      <c r="B199" s="38" t="s">
        <v>25</v>
      </c>
      <c r="C199" s="39" t="s">
        <v>176</v>
      </c>
      <c r="D199" s="39">
        <v>306542.0</v>
      </c>
      <c r="E199" s="35" t="s">
        <v>27</v>
      </c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30.0" customHeight="1">
      <c r="A200" s="37">
        <v>45680.0</v>
      </c>
      <c r="B200" s="38" t="s">
        <v>52</v>
      </c>
      <c r="C200" s="39"/>
      <c r="D200" s="39">
        <v>28000.0</v>
      </c>
      <c r="E200" s="35" t="s">
        <v>3</v>
      </c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30.0" customHeight="1">
      <c r="A201" s="37">
        <v>45680.0</v>
      </c>
      <c r="B201" s="38" t="s">
        <v>37</v>
      </c>
      <c r="C201" s="39"/>
      <c r="D201" s="39">
        <v>133600.0</v>
      </c>
      <c r="E201" s="35" t="s">
        <v>3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30.0" customHeight="1">
      <c r="A202" s="37">
        <v>45680.0</v>
      </c>
      <c r="B202" s="38" t="s">
        <v>38</v>
      </c>
      <c r="C202" s="39"/>
      <c r="D202" s="39">
        <v>74700.0</v>
      </c>
      <c r="E202" s="35" t="s">
        <v>3</v>
      </c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30.0" customHeight="1">
      <c r="A203" s="37">
        <v>45681.0</v>
      </c>
      <c r="B203" s="38" t="s">
        <v>28</v>
      </c>
      <c r="C203" s="39" t="s">
        <v>109</v>
      </c>
      <c r="D203" s="39">
        <v>241740.0</v>
      </c>
      <c r="E203" s="35" t="s">
        <v>27</v>
      </c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30.0" customHeight="1">
      <c r="A204" s="37"/>
      <c r="B204" s="38" t="s">
        <v>31</v>
      </c>
      <c r="C204" s="39" t="s">
        <v>177</v>
      </c>
      <c r="D204" s="39">
        <v>21000.0</v>
      </c>
      <c r="E204" s="35" t="s">
        <v>3</v>
      </c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30.0" customHeight="1">
      <c r="A205" s="37"/>
      <c r="B205" s="38" t="s">
        <v>50</v>
      </c>
      <c r="C205" s="39" t="s">
        <v>178</v>
      </c>
      <c r="D205" s="39">
        <v>121200.0</v>
      </c>
      <c r="E205" s="35" t="s">
        <v>3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30.0" customHeight="1">
      <c r="A206" s="37"/>
      <c r="B206" s="38" t="s">
        <v>106</v>
      </c>
      <c r="C206" s="39">
        <v>772.0</v>
      </c>
      <c r="D206" s="39">
        <v>21600.0</v>
      </c>
      <c r="E206" s="35" t="s">
        <v>3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30.0" customHeight="1">
      <c r="A207" s="37"/>
      <c r="B207" s="38" t="s">
        <v>47</v>
      </c>
      <c r="C207" s="39"/>
      <c r="D207" s="39">
        <v>87000.0</v>
      </c>
      <c r="E207" s="35" t="s">
        <v>3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30.0" customHeight="1">
      <c r="A208" s="37"/>
      <c r="B208" s="38" t="s">
        <v>33</v>
      </c>
      <c r="C208" s="39">
        <v>428.0</v>
      </c>
      <c r="D208" s="39">
        <v>288454.0</v>
      </c>
      <c r="E208" s="35" t="s">
        <v>27</v>
      </c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30.0" customHeight="1">
      <c r="A209" s="37"/>
      <c r="B209" s="38" t="s">
        <v>91</v>
      </c>
      <c r="C209" s="39">
        <v>814.0</v>
      </c>
      <c r="D209" s="39">
        <v>200000.0</v>
      </c>
      <c r="E209" s="35" t="s">
        <v>3</v>
      </c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30.0" customHeight="1">
      <c r="A210" s="37"/>
      <c r="B210" s="38" t="s">
        <v>93</v>
      </c>
      <c r="C210" s="39">
        <v>679.0</v>
      </c>
      <c r="D210" s="39">
        <v>16900.0</v>
      </c>
      <c r="E210" s="35" t="s">
        <v>3</v>
      </c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30.0" customHeight="1">
      <c r="A211" s="41"/>
      <c r="B211" s="42" t="s">
        <v>127</v>
      </c>
      <c r="C211" s="43"/>
      <c r="D211" s="43">
        <v>16800.0</v>
      </c>
      <c r="E211" s="44" t="s">
        <v>3</v>
      </c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30.0" customHeight="1">
      <c r="A212" s="37"/>
      <c r="B212" s="38"/>
      <c r="C212" s="45"/>
      <c r="D212" s="45"/>
      <c r="E212" s="46"/>
      <c r="F212" s="22"/>
      <c r="G212" s="47" t="s">
        <v>179</v>
      </c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30.0" customHeight="1">
      <c r="A213" s="48"/>
      <c r="B213" s="49"/>
      <c r="C213" s="50"/>
      <c r="D213" s="50"/>
      <c r="E213" s="51"/>
      <c r="F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30.0" customHeight="1">
      <c r="A214" s="37">
        <v>45682.0</v>
      </c>
      <c r="B214" s="38" t="s">
        <v>55</v>
      </c>
      <c r="C214" s="52">
        <v>781.0</v>
      </c>
      <c r="D214" s="52">
        <v>20700.0</v>
      </c>
      <c r="E214" s="53" t="s">
        <v>3</v>
      </c>
      <c r="F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30.0" customHeight="1">
      <c r="A215" s="37"/>
      <c r="B215" s="38" t="s">
        <v>59</v>
      </c>
      <c r="C215" s="54">
        <v>578.0</v>
      </c>
      <c r="D215" s="54">
        <v>69150.0</v>
      </c>
      <c r="E215" s="55" t="s">
        <v>3</v>
      </c>
      <c r="F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30.0" customHeight="1">
      <c r="A216" s="37"/>
      <c r="B216" s="38" t="s">
        <v>91</v>
      </c>
      <c r="C216" s="52">
        <v>835.0</v>
      </c>
      <c r="D216" s="52">
        <v>54680.0</v>
      </c>
      <c r="E216" s="53" t="s">
        <v>3</v>
      </c>
      <c r="F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30.0" customHeight="1">
      <c r="A217" s="37"/>
      <c r="B217" s="38" t="s">
        <v>180</v>
      </c>
      <c r="C217" s="54"/>
      <c r="D217" s="54">
        <v>137672.48</v>
      </c>
      <c r="E217" s="56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30.0" customHeight="1">
      <c r="A218" s="37"/>
      <c r="B218" s="38" t="s">
        <v>37</v>
      </c>
      <c r="C218" s="52"/>
      <c r="D218" s="52">
        <v>401300.0</v>
      </c>
      <c r="E218" s="53" t="s">
        <v>3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30.0" customHeight="1">
      <c r="A219" s="37"/>
      <c r="B219" s="38"/>
      <c r="C219" s="54"/>
      <c r="D219" s="54"/>
      <c r="E219" s="56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30.0" customHeight="1">
      <c r="A220" s="37"/>
      <c r="B220" s="38"/>
      <c r="C220" s="52"/>
      <c r="D220" s="52"/>
      <c r="E220" s="57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30.0" customHeight="1">
      <c r="A221" s="37"/>
      <c r="B221" s="38"/>
      <c r="C221" s="54"/>
      <c r="D221" s="54"/>
      <c r="E221" s="56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30.0" customHeight="1">
      <c r="A222" s="37"/>
      <c r="B222" s="38"/>
      <c r="C222" s="52"/>
      <c r="D222" s="52"/>
      <c r="E222" s="57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30.0" customHeight="1">
      <c r="A223" s="37"/>
      <c r="B223" s="38"/>
      <c r="C223" s="54"/>
      <c r="D223" s="54"/>
      <c r="E223" s="56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30.0" customHeight="1">
      <c r="A224" s="37"/>
      <c r="B224" s="38"/>
      <c r="C224" s="52"/>
      <c r="D224" s="52"/>
      <c r="E224" s="57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30.0" customHeight="1">
      <c r="A225" s="37"/>
      <c r="B225" s="38"/>
      <c r="C225" s="54"/>
      <c r="D225" s="54"/>
      <c r="E225" s="56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30.0" customHeight="1">
      <c r="A226" s="37"/>
      <c r="B226" s="38"/>
      <c r="C226" s="52"/>
      <c r="D226" s="52"/>
      <c r="E226" s="57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30.0" customHeight="1">
      <c r="A227" s="37"/>
      <c r="B227" s="38"/>
      <c r="C227" s="54"/>
      <c r="D227" s="54"/>
      <c r="E227" s="56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30.0" customHeight="1">
      <c r="A228" s="37"/>
      <c r="B228" s="38"/>
      <c r="C228" s="52"/>
      <c r="D228" s="52"/>
      <c r="E228" s="57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30.0" customHeight="1">
      <c r="A229" s="37"/>
      <c r="B229" s="38"/>
      <c r="C229" s="54"/>
      <c r="D229" s="54"/>
      <c r="E229" s="56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30.0" customHeight="1">
      <c r="A230" s="37"/>
      <c r="B230" s="38"/>
      <c r="C230" s="52"/>
      <c r="D230" s="52"/>
      <c r="E230" s="57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30.0" customHeight="1">
      <c r="A231" s="37"/>
      <c r="B231" s="38"/>
      <c r="C231" s="54"/>
      <c r="D231" s="54"/>
      <c r="E231" s="56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30.0" customHeight="1">
      <c r="A232" s="37"/>
      <c r="B232" s="38"/>
      <c r="C232" s="52"/>
      <c r="D232" s="52"/>
      <c r="E232" s="57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30.0" customHeight="1">
      <c r="A233" s="37"/>
      <c r="B233" s="38"/>
      <c r="C233" s="54"/>
      <c r="D233" s="54"/>
      <c r="E233" s="56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30.0" customHeight="1">
      <c r="A234" s="37"/>
      <c r="B234" s="38"/>
      <c r="C234" s="52"/>
      <c r="D234" s="52"/>
      <c r="E234" s="57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30.0" customHeight="1">
      <c r="A235" s="37"/>
      <c r="B235" s="38"/>
      <c r="C235" s="54"/>
      <c r="D235" s="54"/>
      <c r="E235" s="56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30.0" customHeight="1">
      <c r="A236" s="37"/>
      <c r="B236" s="38"/>
      <c r="C236" s="52"/>
      <c r="D236" s="52"/>
      <c r="E236" s="57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30.0" customHeight="1">
      <c r="A237" s="37"/>
      <c r="B237" s="38"/>
      <c r="C237" s="54"/>
      <c r="D237" s="54"/>
      <c r="E237" s="56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30.0" customHeight="1">
      <c r="A238" s="37"/>
      <c r="B238" s="38"/>
      <c r="C238" s="52"/>
      <c r="D238" s="52"/>
      <c r="E238" s="57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30.0" customHeight="1">
      <c r="A239" s="37"/>
      <c r="B239" s="38"/>
      <c r="C239" s="54"/>
      <c r="D239" s="54"/>
      <c r="E239" s="56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30.0" customHeight="1">
      <c r="A240" s="37"/>
      <c r="B240" s="38"/>
      <c r="C240" s="52"/>
      <c r="D240" s="52"/>
      <c r="E240" s="57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30.0" customHeight="1">
      <c r="A241" s="37"/>
      <c r="B241" s="38"/>
      <c r="C241" s="54"/>
      <c r="D241" s="54"/>
      <c r="E241" s="56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30.0" customHeight="1">
      <c r="A242" s="37"/>
      <c r="B242" s="38"/>
      <c r="C242" s="52"/>
      <c r="D242" s="52"/>
      <c r="E242" s="57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30.0" customHeight="1">
      <c r="A243" s="37"/>
      <c r="B243" s="38"/>
      <c r="C243" s="54"/>
      <c r="D243" s="54"/>
      <c r="E243" s="56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30.0" customHeight="1">
      <c r="A244" s="37"/>
      <c r="B244" s="38"/>
      <c r="C244" s="52"/>
      <c r="D244" s="52"/>
      <c r="E244" s="57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30.0" customHeight="1">
      <c r="A245" s="37"/>
      <c r="B245" s="38"/>
      <c r="C245" s="54"/>
      <c r="D245" s="54"/>
      <c r="E245" s="56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30.0" customHeight="1">
      <c r="A246" s="37"/>
      <c r="B246" s="38"/>
      <c r="C246" s="52"/>
      <c r="D246" s="52"/>
      <c r="E246" s="57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30.0" customHeight="1">
      <c r="A247" s="37"/>
      <c r="B247" s="38"/>
      <c r="C247" s="54"/>
      <c r="D247" s="54"/>
      <c r="E247" s="56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30.0" customHeight="1">
      <c r="A248" s="37"/>
      <c r="B248" s="38"/>
      <c r="C248" s="52"/>
      <c r="D248" s="52"/>
      <c r="E248" s="57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30.0" customHeight="1">
      <c r="A249" s="37"/>
      <c r="B249" s="38"/>
      <c r="C249" s="54"/>
      <c r="D249" s="54"/>
      <c r="E249" s="56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30.0" customHeight="1">
      <c r="A250" s="37"/>
      <c r="B250" s="38"/>
      <c r="C250" s="52"/>
      <c r="D250" s="52"/>
      <c r="E250" s="57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30.0" customHeight="1">
      <c r="A251" s="37"/>
      <c r="B251" s="38"/>
      <c r="C251" s="54"/>
      <c r="D251" s="54"/>
      <c r="E251" s="56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30.0" customHeight="1">
      <c r="A252" s="37"/>
      <c r="B252" s="38"/>
      <c r="C252" s="52"/>
      <c r="D252" s="52"/>
      <c r="E252" s="57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30.0" customHeight="1">
      <c r="A253" s="37"/>
      <c r="B253" s="38"/>
      <c r="C253" s="54"/>
      <c r="D253" s="54"/>
      <c r="E253" s="56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30.0" customHeight="1">
      <c r="A254" s="37"/>
      <c r="B254" s="38"/>
      <c r="C254" s="52"/>
      <c r="D254" s="52"/>
      <c r="E254" s="57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30.0" customHeight="1">
      <c r="A255" s="37"/>
      <c r="B255" s="38"/>
      <c r="C255" s="54"/>
      <c r="D255" s="54"/>
      <c r="E255" s="56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30.0" customHeight="1">
      <c r="A256" s="37"/>
      <c r="B256" s="38"/>
      <c r="C256" s="52"/>
      <c r="D256" s="52"/>
      <c r="E256" s="57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30.0" customHeight="1">
      <c r="A257" s="37"/>
      <c r="B257" s="38"/>
      <c r="C257" s="54"/>
      <c r="D257" s="54"/>
      <c r="E257" s="56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30.0" customHeight="1">
      <c r="A258" s="37"/>
      <c r="B258" s="38"/>
      <c r="C258" s="52"/>
      <c r="D258" s="52"/>
      <c r="E258" s="57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30.0" customHeight="1">
      <c r="A259" s="37"/>
      <c r="B259" s="38"/>
      <c r="C259" s="54"/>
      <c r="D259" s="54"/>
      <c r="E259" s="56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30.0" customHeight="1">
      <c r="A260" s="37"/>
      <c r="B260" s="38"/>
      <c r="C260" s="52"/>
      <c r="D260" s="52"/>
      <c r="E260" s="57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30.0" customHeight="1">
      <c r="A261" s="37"/>
      <c r="B261" s="38"/>
      <c r="C261" s="54"/>
      <c r="D261" s="54"/>
      <c r="E261" s="56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30.0" customHeight="1">
      <c r="A262" s="37"/>
      <c r="B262" s="38"/>
      <c r="C262" s="52"/>
      <c r="D262" s="52"/>
      <c r="E262" s="57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30.0" customHeight="1">
      <c r="A263" s="37"/>
      <c r="B263" s="38"/>
      <c r="C263" s="54"/>
      <c r="D263" s="54"/>
      <c r="E263" s="56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30.0" customHeight="1">
      <c r="A264" s="37"/>
      <c r="B264" s="38"/>
      <c r="C264" s="52"/>
      <c r="D264" s="52"/>
      <c r="E264" s="57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30.0" customHeight="1">
      <c r="A265" s="37"/>
      <c r="B265" s="38"/>
      <c r="C265" s="54"/>
      <c r="D265" s="54"/>
      <c r="E265" s="56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30.0" customHeight="1">
      <c r="A266" s="37"/>
      <c r="B266" s="38"/>
      <c r="C266" s="52"/>
      <c r="D266" s="52"/>
      <c r="E266" s="57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30.0" customHeight="1">
      <c r="A267" s="37"/>
      <c r="B267" s="38"/>
      <c r="C267" s="54"/>
      <c r="D267" s="54"/>
      <c r="E267" s="56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30.0" customHeight="1">
      <c r="A268" s="37"/>
      <c r="B268" s="38"/>
      <c r="C268" s="52"/>
      <c r="D268" s="52"/>
      <c r="E268" s="57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30.0" customHeight="1">
      <c r="A269" s="37"/>
      <c r="B269" s="38"/>
      <c r="C269" s="54"/>
      <c r="D269" s="54"/>
      <c r="E269" s="56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30.0" customHeight="1">
      <c r="A270" s="37"/>
      <c r="B270" s="38"/>
      <c r="C270" s="52"/>
      <c r="D270" s="52"/>
      <c r="E270" s="57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30.0" customHeight="1">
      <c r="A271" s="37"/>
      <c r="B271" s="38"/>
      <c r="C271" s="54"/>
      <c r="D271" s="54"/>
      <c r="E271" s="56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30.0" customHeight="1">
      <c r="A272" s="37"/>
      <c r="B272" s="38"/>
      <c r="C272" s="52"/>
      <c r="D272" s="52"/>
      <c r="E272" s="57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30.0" customHeight="1">
      <c r="A273" s="37"/>
      <c r="B273" s="38"/>
      <c r="C273" s="54"/>
      <c r="D273" s="54"/>
      <c r="E273" s="56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30.0" customHeight="1">
      <c r="A274" s="37"/>
      <c r="B274" s="38"/>
      <c r="C274" s="52"/>
      <c r="D274" s="52"/>
      <c r="E274" s="57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30.0" customHeight="1">
      <c r="A275" s="37"/>
      <c r="B275" s="38"/>
      <c r="C275" s="54"/>
      <c r="D275" s="54"/>
      <c r="E275" s="56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30.0" customHeight="1">
      <c r="A276" s="37"/>
      <c r="B276" s="38"/>
      <c r="C276" s="52"/>
      <c r="D276" s="52"/>
      <c r="E276" s="57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30.0" customHeight="1">
      <c r="A277" s="37"/>
      <c r="B277" s="38"/>
      <c r="C277" s="54"/>
      <c r="D277" s="54"/>
      <c r="E277" s="56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30.0" customHeight="1">
      <c r="A278" s="37"/>
      <c r="B278" s="38"/>
      <c r="C278" s="52"/>
      <c r="D278" s="52"/>
      <c r="E278" s="57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30.0" customHeight="1">
      <c r="A279" s="37"/>
      <c r="B279" s="38"/>
      <c r="C279" s="54"/>
      <c r="D279" s="54"/>
      <c r="E279" s="56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30.0" customHeight="1">
      <c r="A280" s="37"/>
      <c r="B280" s="38"/>
      <c r="C280" s="52"/>
      <c r="D280" s="52"/>
      <c r="E280" s="57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30.0" customHeight="1">
      <c r="A281" s="37"/>
      <c r="B281" s="38"/>
      <c r="C281" s="54"/>
      <c r="D281" s="54"/>
      <c r="E281" s="56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30.0" customHeight="1">
      <c r="A282" s="37"/>
      <c r="B282" s="38"/>
      <c r="C282" s="52"/>
      <c r="D282" s="52"/>
      <c r="E282" s="57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30.0" customHeight="1">
      <c r="A283" s="37"/>
      <c r="B283" s="38"/>
      <c r="C283" s="54"/>
      <c r="D283" s="54"/>
      <c r="E283" s="56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30.0" customHeight="1">
      <c r="A284" s="37"/>
      <c r="B284" s="38"/>
      <c r="C284" s="52"/>
      <c r="D284" s="52"/>
      <c r="E284" s="57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30.0" customHeight="1">
      <c r="A285" s="37"/>
      <c r="B285" s="38"/>
      <c r="C285" s="54"/>
      <c r="D285" s="54"/>
      <c r="E285" s="56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30.0" customHeight="1">
      <c r="A286" s="37"/>
      <c r="B286" s="38"/>
      <c r="C286" s="52"/>
      <c r="D286" s="52"/>
      <c r="E286" s="57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30.0" customHeight="1">
      <c r="A287" s="37"/>
      <c r="B287" s="38"/>
      <c r="C287" s="54"/>
      <c r="D287" s="54"/>
      <c r="E287" s="56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30.0" customHeight="1">
      <c r="A288" s="37"/>
      <c r="B288" s="38"/>
      <c r="C288" s="52"/>
      <c r="D288" s="52"/>
      <c r="E288" s="57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30.0" customHeight="1">
      <c r="A289" s="37"/>
      <c r="B289" s="38"/>
      <c r="C289" s="54"/>
      <c r="D289" s="54"/>
      <c r="E289" s="56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30.0" customHeight="1">
      <c r="A290" s="37"/>
      <c r="B290" s="38"/>
      <c r="C290" s="52"/>
      <c r="D290" s="52"/>
      <c r="E290" s="57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30.0" customHeight="1">
      <c r="A291" s="37"/>
      <c r="B291" s="38"/>
      <c r="C291" s="54"/>
      <c r="D291" s="54"/>
      <c r="E291" s="56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30.0" customHeight="1">
      <c r="A292" s="37"/>
      <c r="B292" s="38"/>
      <c r="C292" s="52"/>
      <c r="D292" s="52"/>
      <c r="E292" s="57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30.0" customHeight="1">
      <c r="A293" s="37"/>
      <c r="B293" s="38"/>
      <c r="C293" s="54"/>
      <c r="D293" s="54"/>
      <c r="E293" s="56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30.0" customHeight="1">
      <c r="A294" s="37"/>
      <c r="B294" s="38"/>
      <c r="C294" s="52"/>
      <c r="D294" s="52"/>
      <c r="E294" s="57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30.0" customHeight="1">
      <c r="A295" s="37"/>
      <c r="B295" s="38"/>
      <c r="C295" s="54"/>
      <c r="D295" s="54"/>
      <c r="E295" s="56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30.0" customHeight="1">
      <c r="A296" s="37"/>
      <c r="B296" s="38"/>
      <c r="C296" s="52"/>
      <c r="D296" s="52"/>
      <c r="E296" s="57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30.0" customHeight="1">
      <c r="A297" s="37"/>
      <c r="B297" s="38"/>
      <c r="C297" s="54"/>
      <c r="D297" s="54"/>
      <c r="E297" s="56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30.0" customHeight="1">
      <c r="A298" s="37"/>
      <c r="B298" s="38"/>
      <c r="C298" s="52"/>
      <c r="D298" s="52"/>
      <c r="E298" s="57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30.0" customHeight="1">
      <c r="A299" s="37"/>
      <c r="B299" s="38"/>
      <c r="C299" s="54"/>
      <c r="D299" s="54"/>
      <c r="E299" s="56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30.0" customHeight="1">
      <c r="A300" s="37"/>
      <c r="B300" s="38"/>
      <c r="C300" s="52"/>
      <c r="D300" s="52"/>
      <c r="E300" s="57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30.0" customHeight="1">
      <c r="A301" s="37"/>
      <c r="B301" s="38"/>
      <c r="C301" s="54"/>
      <c r="D301" s="54"/>
      <c r="E301" s="56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1"/>
      <c r="B302" s="22"/>
      <c r="C302" s="22"/>
      <c r="D302" s="22"/>
      <c r="E302" s="3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1"/>
      <c r="B303" s="22"/>
      <c r="C303" s="22"/>
      <c r="D303" s="22"/>
      <c r="E303" s="3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1"/>
      <c r="B304" s="22"/>
      <c r="C304" s="22"/>
      <c r="D304" s="22"/>
      <c r="E304" s="3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1"/>
      <c r="B305" s="22"/>
      <c r="C305" s="22"/>
      <c r="D305" s="22"/>
      <c r="E305" s="3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1"/>
      <c r="B306" s="22"/>
      <c r="C306" s="22"/>
      <c r="D306" s="22"/>
      <c r="E306" s="3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1"/>
      <c r="B307" s="22"/>
      <c r="C307" s="22"/>
      <c r="D307" s="22"/>
      <c r="E307" s="3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1"/>
      <c r="B308" s="22"/>
      <c r="C308" s="22"/>
      <c r="D308" s="22"/>
      <c r="E308" s="3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1"/>
      <c r="B309" s="22"/>
      <c r="C309" s="22"/>
      <c r="D309" s="22"/>
      <c r="E309" s="3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1"/>
      <c r="B310" s="22"/>
      <c r="C310" s="22"/>
      <c r="D310" s="22"/>
      <c r="E310" s="3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1"/>
      <c r="B311" s="22"/>
      <c r="C311" s="22"/>
      <c r="D311" s="22"/>
      <c r="E311" s="3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1"/>
      <c r="B312" s="22"/>
      <c r="C312" s="22"/>
      <c r="D312" s="22"/>
      <c r="E312" s="3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1"/>
      <c r="B313" s="22"/>
      <c r="C313" s="22"/>
      <c r="D313" s="22"/>
      <c r="E313" s="3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1"/>
      <c r="B314" s="22"/>
      <c r="C314" s="22"/>
      <c r="D314" s="22"/>
      <c r="E314" s="3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1"/>
      <c r="B315" s="22"/>
      <c r="C315" s="22"/>
      <c r="D315" s="22"/>
      <c r="E315" s="3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1"/>
      <c r="B316" s="22"/>
      <c r="C316" s="22"/>
      <c r="D316" s="22"/>
      <c r="E316" s="3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1"/>
      <c r="B317" s="22"/>
      <c r="C317" s="22"/>
      <c r="D317" s="22"/>
      <c r="E317" s="3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1"/>
      <c r="B318" s="22"/>
      <c r="C318" s="22"/>
      <c r="D318" s="22"/>
      <c r="E318" s="3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1"/>
      <c r="B319" s="22"/>
      <c r="C319" s="22"/>
      <c r="D319" s="22"/>
      <c r="E319" s="3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1"/>
      <c r="B320" s="22"/>
      <c r="C320" s="22"/>
      <c r="D320" s="22"/>
      <c r="E320" s="3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1"/>
      <c r="B321" s="22"/>
      <c r="C321" s="22"/>
      <c r="D321" s="22"/>
      <c r="E321" s="3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1"/>
      <c r="B322" s="22"/>
      <c r="C322" s="22"/>
      <c r="D322" s="22"/>
      <c r="E322" s="3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1"/>
      <c r="B323" s="22"/>
      <c r="C323" s="22"/>
      <c r="D323" s="22"/>
      <c r="E323" s="3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1"/>
      <c r="B324" s="22"/>
      <c r="C324" s="22"/>
      <c r="D324" s="22"/>
      <c r="E324" s="3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1"/>
      <c r="B325" s="22"/>
      <c r="C325" s="22"/>
      <c r="D325" s="22"/>
      <c r="E325" s="3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1"/>
      <c r="B326" s="22"/>
      <c r="C326" s="22"/>
      <c r="D326" s="22"/>
      <c r="E326" s="3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1"/>
      <c r="B327" s="22"/>
      <c r="C327" s="22"/>
      <c r="D327" s="22"/>
      <c r="E327" s="3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1"/>
      <c r="B328" s="22"/>
      <c r="C328" s="22"/>
      <c r="D328" s="22"/>
      <c r="E328" s="3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1"/>
      <c r="B329" s="22"/>
      <c r="C329" s="22"/>
      <c r="D329" s="22"/>
      <c r="E329" s="3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1"/>
      <c r="B330" s="22"/>
      <c r="C330" s="22"/>
      <c r="D330" s="22"/>
      <c r="E330" s="3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1"/>
      <c r="B331" s="22"/>
      <c r="C331" s="22"/>
      <c r="D331" s="22"/>
      <c r="E331" s="3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1"/>
      <c r="B332" s="22"/>
      <c r="C332" s="22"/>
      <c r="D332" s="22"/>
      <c r="E332" s="3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1"/>
      <c r="B333" s="22"/>
      <c r="C333" s="22"/>
      <c r="D333" s="22"/>
      <c r="E333" s="3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1"/>
      <c r="B334" s="22"/>
      <c r="C334" s="22"/>
      <c r="D334" s="22"/>
      <c r="E334" s="3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1"/>
      <c r="B335" s="22"/>
      <c r="C335" s="22"/>
      <c r="D335" s="22"/>
      <c r="E335" s="3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1"/>
      <c r="B336" s="22"/>
      <c r="C336" s="22"/>
      <c r="D336" s="22"/>
      <c r="E336" s="3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1"/>
      <c r="B337" s="22"/>
      <c r="C337" s="22"/>
      <c r="D337" s="22"/>
      <c r="E337" s="3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1"/>
      <c r="B338" s="22"/>
      <c r="C338" s="22"/>
      <c r="D338" s="22"/>
      <c r="E338" s="3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1"/>
      <c r="B339" s="22"/>
      <c r="C339" s="22"/>
      <c r="D339" s="22"/>
      <c r="E339" s="3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1"/>
      <c r="B340" s="22"/>
      <c r="C340" s="22"/>
      <c r="D340" s="22"/>
      <c r="E340" s="3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1"/>
      <c r="B341" s="22"/>
      <c r="C341" s="22"/>
      <c r="D341" s="22"/>
      <c r="E341" s="3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1"/>
      <c r="B342" s="22"/>
      <c r="C342" s="22"/>
      <c r="D342" s="22"/>
      <c r="E342" s="3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1"/>
      <c r="B343" s="22"/>
      <c r="C343" s="22"/>
      <c r="D343" s="22"/>
      <c r="E343" s="3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1"/>
      <c r="B344" s="22"/>
      <c r="C344" s="22"/>
      <c r="D344" s="22"/>
      <c r="E344" s="3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1"/>
      <c r="B345" s="22"/>
      <c r="C345" s="22"/>
      <c r="D345" s="22"/>
      <c r="E345" s="3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1"/>
      <c r="B346" s="22"/>
      <c r="C346" s="22"/>
      <c r="D346" s="22"/>
      <c r="E346" s="3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1"/>
      <c r="B347" s="22"/>
      <c r="C347" s="22"/>
      <c r="D347" s="22"/>
      <c r="E347" s="3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1"/>
      <c r="B348" s="22"/>
      <c r="C348" s="22"/>
      <c r="D348" s="22"/>
      <c r="E348" s="3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1"/>
      <c r="B349" s="22"/>
      <c r="C349" s="22"/>
      <c r="D349" s="22"/>
      <c r="E349" s="3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1"/>
      <c r="B350" s="22"/>
      <c r="C350" s="22"/>
      <c r="D350" s="22"/>
      <c r="E350" s="3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1"/>
      <c r="B351" s="22"/>
      <c r="C351" s="22"/>
      <c r="D351" s="22"/>
      <c r="E351" s="3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1"/>
      <c r="B352" s="22"/>
      <c r="C352" s="22"/>
      <c r="D352" s="22"/>
      <c r="E352" s="3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1"/>
      <c r="B353" s="22"/>
      <c r="C353" s="22"/>
      <c r="D353" s="22"/>
      <c r="E353" s="3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1"/>
      <c r="B354" s="22"/>
      <c r="C354" s="22"/>
      <c r="D354" s="22"/>
      <c r="E354" s="3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1"/>
      <c r="B355" s="22"/>
      <c r="C355" s="22"/>
      <c r="D355" s="22"/>
      <c r="E355" s="3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1"/>
      <c r="B356" s="22"/>
      <c r="C356" s="22"/>
      <c r="D356" s="22"/>
      <c r="E356" s="3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1"/>
      <c r="B357" s="22"/>
      <c r="C357" s="22"/>
      <c r="D357" s="22"/>
      <c r="E357" s="3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1"/>
      <c r="B358" s="22"/>
      <c r="C358" s="22"/>
      <c r="D358" s="22"/>
      <c r="E358" s="3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1"/>
      <c r="B359" s="22"/>
      <c r="C359" s="22"/>
      <c r="D359" s="22"/>
      <c r="E359" s="3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1"/>
      <c r="B360" s="22"/>
      <c r="C360" s="22"/>
      <c r="D360" s="22"/>
      <c r="E360" s="3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1"/>
      <c r="B361" s="22"/>
      <c r="C361" s="22"/>
      <c r="D361" s="22"/>
      <c r="E361" s="3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1"/>
      <c r="B362" s="22"/>
      <c r="C362" s="22"/>
      <c r="D362" s="22"/>
      <c r="E362" s="3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1"/>
      <c r="B363" s="22"/>
      <c r="C363" s="22"/>
      <c r="D363" s="22"/>
      <c r="E363" s="3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1"/>
      <c r="B364" s="22"/>
      <c r="C364" s="22"/>
      <c r="D364" s="22"/>
      <c r="E364" s="3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1"/>
      <c r="B365" s="22"/>
      <c r="C365" s="22"/>
      <c r="D365" s="22"/>
      <c r="E365" s="3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1"/>
      <c r="B366" s="22"/>
      <c r="C366" s="22"/>
      <c r="D366" s="22"/>
      <c r="E366" s="3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1"/>
      <c r="B367" s="22"/>
      <c r="C367" s="22"/>
      <c r="D367" s="22"/>
      <c r="E367" s="3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1"/>
      <c r="B368" s="22"/>
      <c r="C368" s="22"/>
      <c r="D368" s="22"/>
      <c r="E368" s="3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1"/>
      <c r="B369" s="22"/>
      <c r="C369" s="22"/>
      <c r="D369" s="22"/>
      <c r="E369" s="3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1"/>
      <c r="B370" s="22"/>
      <c r="C370" s="22"/>
      <c r="D370" s="22"/>
      <c r="E370" s="3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1"/>
      <c r="B371" s="22"/>
      <c r="C371" s="22"/>
      <c r="D371" s="22"/>
      <c r="E371" s="3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1"/>
      <c r="B372" s="22"/>
      <c r="C372" s="22"/>
      <c r="D372" s="22"/>
      <c r="E372" s="3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1"/>
      <c r="B373" s="22"/>
      <c r="C373" s="22"/>
      <c r="D373" s="22"/>
      <c r="E373" s="3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1"/>
      <c r="B374" s="22"/>
      <c r="C374" s="22"/>
      <c r="D374" s="22"/>
      <c r="E374" s="3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1"/>
      <c r="B375" s="22"/>
      <c r="C375" s="22"/>
      <c r="D375" s="22"/>
      <c r="E375" s="3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1"/>
      <c r="B376" s="22"/>
      <c r="C376" s="22"/>
      <c r="D376" s="22"/>
      <c r="E376" s="3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1"/>
      <c r="B377" s="22"/>
      <c r="C377" s="22"/>
      <c r="D377" s="22"/>
      <c r="E377" s="3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1"/>
      <c r="B378" s="22"/>
      <c r="C378" s="22"/>
      <c r="D378" s="22"/>
      <c r="E378" s="3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1"/>
      <c r="B379" s="22"/>
      <c r="C379" s="22"/>
      <c r="D379" s="22"/>
      <c r="E379" s="3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1"/>
      <c r="B380" s="22"/>
      <c r="C380" s="22"/>
      <c r="D380" s="22"/>
      <c r="E380" s="3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1"/>
      <c r="B381" s="22"/>
      <c r="C381" s="22"/>
      <c r="D381" s="22"/>
      <c r="E381" s="3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1"/>
      <c r="B382" s="22"/>
      <c r="C382" s="22"/>
      <c r="D382" s="22"/>
      <c r="E382" s="3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1"/>
      <c r="B383" s="22"/>
      <c r="C383" s="22"/>
      <c r="D383" s="22"/>
      <c r="E383" s="3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1"/>
      <c r="B384" s="22"/>
      <c r="C384" s="22"/>
      <c r="D384" s="22"/>
      <c r="E384" s="3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1"/>
      <c r="B385" s="22"/>
      <c r="C385" s="22"/>
      <c r="D385" s="22"/>
      <c r="E385" s="3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1"/>
      <c r="B386" s="22"/>
      <c r="C386" s="22"/>
      <c r="D386" s="22"/>
      <c r="E386" s="3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1"/>
      <c r="B387" s="22"/>
      <c r="C387" s="22"/>
      <c r="D387" s="22"/>
      <c r="E387" s="3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1"/>
      <c r="B388" s="22"/>
      <c r="C388" s="22"/>
      <c r="D388" s="22"/>
      <c r="E388" s="3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1"/>
      <c r="B389" s="22"/>
      <c r="C389" s="22"/>
      <c r="D389" s="22"/>
      <c r="E389" s="3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1"/>
      <c r="B390" s="22"/>
      <c r="C390" s="22"/>
      <c r="D390" s="22"/>
      <c r="E390" s="3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1"/>
      <c r="B391" s="22"/>
      <c r="C391" s="22"/>
      <c r="D391" s="22"/>
      <c r="E391" s="3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1"/>
      <c r="B392" s="22"/>
      <c r="C392" s="22"/>
      <c r="D392" s="22"/>
      <c r="E392" s="3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1"/>
      <c r="B393" s="22"/>
      <c r="C393" s="22"/>
      <c r="D393" s="22"/>
      <c r="E393" s="3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1"/>
      <c r="B394" s="22"/>
      <c r="C394" s="22"/>
      <c r="D394" s="22"/>
      <c r="E394" s="3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1"/>
      <c r="B395" s="22"/>
      <c r="C395" s="22"/>
      <c r="D395" s="22"/>
      <c r="E395" s="3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1"/>
      <c r="B396" s="22"/>
      <c r="C396" s="22"/>
      <c r="D396" s="22"/>
      <c r="E396" s="3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1"/>
      <c r="B397" s="22"/>
      <c r="C397" s="22"/>
      <c r="D397" s="22"/>
      <c r="E397" s="3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1"/>
      <c r="B398" s="22"/>
      <c r="C398" s="22"/>
      <c r="D398" s="22"/>
      <c r="E398" s="3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1"/>
      <c r="B399" s="22"/>
      <c r="C399" s="22"/>
      <c r="D399" s="22"/>
      <c r="E399" s="3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1"/>
      <c r="B400" s="22"/>
      <c r="C400" s="22"/>
      <c r="D400" s="22"/>
      <c r="E400" s="3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1"/>
      <c r="B401" s="22"/>
      <c r="C401" s="22"/>
      <c r="D401" s="22"/>
      <c r="E401" s="3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1"/>
      <c r="B402" s="22"/>
      <c r="C402" s="22"/>
      <c r="D402" s="22"/>
      <c r="E402" s="3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1"/>
      <c r="B403" s="22"/>
      <c r="C403" s="22"/>
      <c r="D403" s="22"/>
      <c r="E403" s="3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1"/>
      <c r="B404" s="22"/>
      <c r="C404" s="22"/>
      <c r="D404" s="22"/>
      <c r="E404" s="3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1"/>
      <c r="B405" s="22"/>
      <c r="C405" s="22"/>
      <c r="D405" s="22"/>
      <c r="E405" s="3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1"/>
      <c r="B406" s="22"/>
      <c r="C406" s="22"/>
      <c r="D406" s="22"/>
      <c r="E406" s="3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1"/>
      <c r="B407" s="22"/>
      <c r="C407" s="22"/>
      <c r="D407" s="22"/>
      <c r="E407" s="3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1"/>
      <c r="B408" s="22"/>
      <c r="C408" s="22"/>
      <c r="D408" s="22"/>
      <c r="E408" s="3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1"/>
      <c r="B409" s="22"/>
      <c r="C409" s="22"/>
      <c r="D409" s="22"/>
      <c r="E409" s="3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1"/>
      <c r="B410" s="22"/>
      <c r="C410" s="22"/>
      <c r="D410" s="22"/>
      <c r="E410" s="3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1"/>
      <c r="B411" s="22"/>
      <c r="C411" s="22"/>
      <c r="D411" s="22"/>
      <c r="E411" s="3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1"/>
      <c r="B412" s="22"/>
      <c r="C412" s="22"/>
      <c r="D412" s="22"/>
      <c r="E412" s="3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1"/>
      <c r="B413" s="22"/>
      <c r="C413" s="22"/>
      <c r="D413" s="22"/>
      <c r="E413" s="3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1"/>
      <c r="B414" s="22"/>
      <c r="C414" s="22"/>
      <c r="D414" s="22"/>
      <c r="E414" s="3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1"/>
      <c r="B415" s="22"/>
      <c r="C415" s="22"/>
      <c r="D415" s="22"/>
      <c r="E415" s="3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1"/>
      <c r="B416" s="22"/>
      <c r="C416" s="22"/>
      <c r="D416" s="22"/>
      <c r="E416" s="3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1"/>
      <c r="B417" s="22"/>
      <c r="C417" s="22"/>
      <c r="D417" s="22"/>
      <c r="E417" s="3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1"/>
      <c r="B418" s="22"/>
      <c r="C418" s="22"/>
      <c r="D418" s="22"/>
      <c r="E418" s="3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1"/>
      <c r="B419" s="22"/>
      <c r="C419" s="22"/>
      <c r="D419" s="22"/>
      <c r="E419" s="3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1"/>
      <c r="B420" s="22"/>
      <c r="C420" s="22"/>
      <c r="D420" s="22"/>
      <c r="E420" s="3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1"/>
      <c r="B421" s="22"/>
      <c r="C421" s="22"/>
      <c r="D421" s="22"/>
      <c r="E421" s="3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1"/>
      <c r="B422" s="22"/>
      <c r="C422" s="22"/>
      <c r="D422" s="22"/>
      <c r="E422" s="3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1"/>
      <c r="B423" s="22"/>
      <c r="C423" s="22"/>
      <c r="D423" s="22"/>
      <c r="E423" s="3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1"/>
      <c r="B424" s="22"/>
      <c r="C424" s="22"/>
      <c r="D424" s="22"/>
      <c r="E424" s="3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1"/>
      <c r="B425" s="22"/>
      <c r="C425" s="22"/>
      <c r="D425" s="22"/>
      <c r="E425" s="3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1"/>
      <c r="B426" s="22"/>
      <c r="C426" s="22"/>
      <c r="D426" s="22"/>
      <c r="E426" s="3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1"/>
      <c r="B427" s="22"/>
      <c r="C427" s="22"/>
      <c r="D427" s="22"/>
      <c r="E427" s="3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1"/>
      <c r="B428" s="22"/>
      <c r="C428" s="22"/>
      <c r="D428" s="22"/>
      <c r="E428" s="3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1"/>
      <c r="B429" s="22"/>
      <c r="C429" s="22"/>
      <c r="D429" s="22"/>
      <c r="E429" s="3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1"/>
      <c r="B430" s="22"/>
      <c r="C430" s="22"/>
      <c r="D430" s="22"/>
      <c r="E430" s="3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1"/>
      <c r="B431" s="22"/>
      <c r="C431" s="22"/>
      <c r="D431" s="22"/>
      <c r="E431" s="3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1"/>
      <c r="B432" s="22"/>
      <c r="C432" s="22"/>
      <c r="D432" s="22"/>
      <c r="E432" s="3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1"/>
      <c r="B433" s="22"/>
      <c r="C433" s="22"/>
      <c r="D433" s="22"/>
      <c r="E433" s="3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1"/>
      <c r="B434" s="22"/>
      <c r="C434" s="22"/>
      <c r="D434" s="22"/>
      <c r="E434" s="3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1"/>
      <c r="B435" s="22"/>
      <c r="C435" s="22"/>
      <c r="D435" s="22"/>
      <c r="E435" s="3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1"/>
      <c r="B436" s="22"/>
      <c r="C436" s="22"/>
      <c r="D436" s="22"/>
      <c r="E436" s="3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1"/>
      <c r="B437" s="22"/>
      <c r="C437" s="22"/>
      <c r="D437" s="22"/>
      <c r="E437" s="3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1"/>
      <c r="B438" s="22"/>
      <c r="C438" s="22"/>
      <c r="D438" s="22"/>
      <c r="E438" s="3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1"/>
      <c r="B439" s="22"/>
      <c r="C439" s="22"/>
      <c r="D439" s="22"/>
      <c r="E439" s="3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1"/>
      <c r="B440" s="22"/>
      <c r="C440" s="22"/>
      <c r="D440" s="22"/>
      <c r="E440" s="3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1"/>
      <c r="B441" s="22"/>
      <c r="C441" s="22"/>
      <c r="D441" s="22"/>
      <c r="E441" s="3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1"/>
      <c r="B442" s="22"/>
      <c r="C442" s="22"/>
      <c r="D442" s="22"/>
      <c r="E442" s="3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1"/>
      <c r="B443" s="22"/>
      <c r="C443" s="22"/>
      <c r="D443" s="22"/>
      <c r="E443" s="3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1"/>
      <c r="B444" s="22"/>
      <c r="C444" s="22"/>
      <c r="D444" s="22"/>
      <c r="E444" s="3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1"/>
      <c r="B445" s="22"/>
      <c r="C445" s="22"/>
      <c r="D445" s="22"/>
      <c r="E445" s="3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1"/>
      <c r="B446" s="22"/>
      <c r="C446" s="22"/>
      <c r="D446" s="22"/>
      <c r="E446" s="3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1"/>
      <c r="B447" s="22"/>
      <c r="C447" s="22"/>
      <c r="D447" s="22"/>
      <c r="E447" s="3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1"/>
      <c r="B448" s="22"/>
      <c r="C448" s="22"/>
      <c r="D448" s="22"/>
      <c r="E448" s="3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1"/>
      <c r="B449" s="22"/>
      <c r="C449" s="22"/>
      <c r="D449" s="22"/>
      <c r="E449" s="3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1"/>
      <c r="B450" s="22"/>
      <c r="C450" s="22"/>
      <c r="D450" s="22"/>
      <c r="E450" s="3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1"/>
      <c r="B451" s="22"/>
      <c r="C451" s="22"/>
      <c r="D451" s="22"/>
      <c r="E451" s="3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1"/>
      <c r="B452" s="22"/>
      <c r="C452" s="22"/>
      <c r="D452" s="22"/>
      <c r="E452" s="3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1"/>
      <c r="B453" s="22"/>
      <c r="C453" s="22"/>
      <c r="D453" s="22"/>
      <c r="E453" s="3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1"/>
      <c r="B454" s="22"/>
      <c r="C454" s="22"/>
      <c r="D454" s="22"/>
      <c r="E454" s="3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1"/>
      <c r="B455" s="22"/>
      <c r="C455" s="22"/>
      <c r="D455" s="22"/>
      <c r="E455" s="3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1"/>
      <c r="B456" s="22"/>
      <c r="C456" s="22"/>
      <c r="D456" s="22"/>
      <c r="E456" s="3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1"/>
      <c r="B457" s="22"/>
      <c r="C457" s="22"/>
      <c r="D457" s="22"/>
      <c r="E457" s="3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1"/>
      <c r="B458" s="22"/>
      <c r="C458" s="22"/>
      <c r="D458" s="22"/>
      <c r="E458" s="3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1"/>
      <c r="B459" s="22"/>
      <c r="C459" s="22"/>
      <c r="D459" s="22"/>
      <c r="E459" s="3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1"/>
      <c r="B460" s="22"/>
      <c r="C460" s="22"/>
      <c r="D460" s="22"/>
      <c r="E460" s="3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1"/>
      <c r="B461" s="22"/>
      <c r="C461" s="22"/>
      <c r="D461" s="22"/>
      <c r="E461" s="3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1"/>
      <c r="B462" s="22"/>
      <c r="C462" s="22"/>
      <c r="D462" s="22"/>
      <c r="E462" s="3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1"/>
      <c r="B463" s="22"/>
      <c r="C463" s="22"/>
      <c r="D463" s="22"/>
      <c r="E463" s="3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1"/>
      <c r="B464" s="22"/>
      <c r="C464" s="22"/>
      <c r="D464" s="22"/>
      <c r="E464" s="3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1"/>
      <c r="B465" s="22"/>
      <c r="C465" s="22"/>
      <c r="D465" s="22"/>
      <c r="E465" s="3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1"/>
      <c r="B466" s="22"/>
      <c r="C466" s="22"/>
      <c r="D466" s="22"/>
      <c r="E466" s="3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1"/>
      <c r="B467" s="22"/>
      <c r="C467" s="22"/>
      <c r="D467" s="22"/>
      <c r="E467" s="3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1"/>
      <c r="B468" s="22"/>
      <c r="C468" s="22"/>
      <c r="D468" s="22"/>
      <c r="E468" s="3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1"/>
      <c r="B469" s="22"/>
      <c r="C469" s="22"/>
      <c r="D469" s="22"/>
      <c r="E469" s="3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1"/>
      <c r="B470" s="22"/>
      <c r="C470" s="22"/>
      <c r="D470" s="22"/>
      <c r="E470" s="3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1"/>
      <c r="B471" s="22"/>
      <c r="C471" s="22"/>
      <c r="D471" s="22"/>
      <c r="E471" s="3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1"/>
      <c r="B472" s="22"/>
      <c r="C472" s="22"/>
      <c r="D472" s="22"/>
      <c r="E472" s="3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1"/>
      <c r="B473" s="22"/>
      <c r="C473" s="22"/>
      <c r="D473" s="22"/>
      <c r="E473" s="3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1"/>
      <c r="B474" s="22"/>
      <c r="C474" s="22"/>
      <c r="D474" s="22"/>
      <c r="E474" s="3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1"/>
      <c r="B475" s="22"/>
      <c r="C475" s="22"/>
      <c r="D475" s="22"/>
      <c r="E475" s="3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1"/>
      <c r="B476" s="22"/>
      <c r="C476" s="22"/>
      <c r="D476" s="22"/>
      <c r="E476" s="3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1"/>
      <c r="B477" s="22"/>
      <c r="C477" s="22"/>
      <c r="D477" s="22"/>
      <c r="E477" s="3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1"/>
      <c r="B478" s="22"/>
      <c r="C478" s="22"/>
      <c r="D478" s="22"/>
      <c r="E478" s="3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1"/>
      <c r="B479" s="22"/>
      <c r="C479" s="22"/>
      <c r="D479" s="22"/>
      <c r="E479" s="3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1"/>
      <c r="B480" s="22"/>
      <c r="C480" s="22"/>
      <c r="D480" s="22"/>
      <c r="E480" s="3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1"/>
      <c r="B481" s="22"/>
      <c r="C481" s="22"/>
      <c r="D481" s="22"/>
      <c r="E481" s="3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1"/>
      <c r="B482" s="22"/>
      <c r="C482" s="22"/>
      <c r="D482" s="22"/>
      <c r="E482" s="3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1"/>
      <c r="B483" s="22"/>
      <c r="C483" s="22"/>
      <c r="D483" s="22"/>
      <c r="E483" s="3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1"/>
      <c r="B484" s="22"/>
      <c r="C484" s="22"/>
      <c r="D484" s="22"/>
      <c r="E484" s="3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1"/>
      <c r="B485" s="22"/>
      <c r="C485" s="22"/>
      <c r="D485" s="22"/>
      <c r="E485" s="3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1"/>
      <c r="B486" s="22"/>
      <c r="C486" s="22"/>
      <c r="D486" s="22"/>
      <c r="E486" s="3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1"/>
      <c r="B487" s="22"/>
      <c r="C487" s="22"/>
      <c r="D487" s="22"/>
      <c r="E487" s="3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1"/>
      <c r="B488" s="22"/>
      <c r="C488" s="22"/>
      <c r="D488" s="22"/>
      <c r="E488" s="3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1"/>
      <c r="B489" s="22"/>
      <c r="C489" s="22"/>
      <c r="D489" s="22"/>
      <c r="E489" s="3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1"/>
      <c r="B490" s="22"/>
      <c r="C490" s="22"/>
      <c r="D490" s="22"/>
      <c r="E490" s="3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1"/>
      <c r="B491" s="22"/>
      <c r="C491" s="22"/>
      <c r="D491" s="22"/>
      <c r="E491" s="3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1"/>
      <c r="B492" s="22"/>
      <c r="C492" s="22"/>
      <c r="D492" s="22"/>
      <c r="E492" s="3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1"/>
      <c r="B493" s="22"/>
      <c r="C493" s="22"/>
      <c r="D493" s="22"/>
      <c r="E493" s="3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1"/>
      <c r="B494" s="22"/>
      <c r="C494" s="22"/>
      <c r="D494" s="22"/>
      <c r="E494" s="3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1"/>
      <c r="B495" s="22"/>
      <c r="C495" s="22"/>
      <c r="D495" s="22"/>
      <c r="E495" s="3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1"/>
      <c r="B496" s="22"/>
      <c r="C496" s="22"/>
      <c r="D496" s="22"/>
      <c r="E496" s="3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1"/>
      <c r="B497" s="22"/>
      <c r="C497" s="22"/>
      <c r="D497" s="22"/>
      <c r="E497" s="3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1"/>
      <c r="B498" s="22"/>
      <c r="C498" s="22"/>
      <c r="D498" s="22"/>
      <c r="E498" s="3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1"/>
      <c r="B499" s="22"/>
      <c r="C499" s="22"/>
      <c r="D499" s="22"/>
      <c r="E499" s="3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1"/>
      <c r="B500" s="22"/>
      <c r="C500" s="22"/>
      <c r="D500" s="22"/>
      <c r="E500" s="3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1"/>
      <c r="B501" s="22"/>
      <c r="C501" s="22"/>
      <c r="D501" s="22"/>
      <c r="E501" s="3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1"/>
      <c r="B502" s="22"/>
      <c r="C502" s="22"/>
      <c r="D502" s="22"/>
      <c r="E502" s="3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1"/>
      <c r="B503" s="22"/>
      <c r="C503" s="22"/>
      <c r="D503" s="22"/>
      <c r="E503" s="3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1"/>
      <c r="B504" s="22"/>
      <c r="C504" s="22"/>
      <c r="D504" s="22"/>
      <c r="E504" s="3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1"/>
      <c r="B505" s="22"/>
      <c r="C505" s="22"/>
      <c r="D505" s="22"/>
      <c r="E505" s="3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1"/>
      <c r="B506" s="22"/>
      <c r="C506" s="22"/>
      <c r="D506" s="22"/>
      <c r="E506" s="3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1"/>
      <c r="B507" s="22"/>
      <c r="C507" s="22"/>
      <c r="D507" s="22"/>
      <c r="E507" s="3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1"/>
      <c r="B508" s="22"/>
      <c r="C508" s="22"/>
      <c r="D508" s="22"/>
      <c r="E508" s="3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1"/>
      <c r="B509" s="22"/>
      <c r="C509" s="22"/>
      <c r="D509" s="22"/>
      <c r="E509" s="3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1"/>
      <c r="B510" s="22"/>
      <c r="C510" s="22"/>
      <c r="D510" s="22"/>
      <c r="E510" s="3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1"/>
      <c r="B511" s="22"/>
      <c r="C511" s="22"/>
      <c r="D511" s="22"/>
      <c r="E511" s="3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1"/>
      <c r="B512" s="22"/>
      <c r="C512" s="22"/>
      <c r="D512" s="22"/>
      <c r="E512" s="3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1"/>
      <c r="B513" s="22"/>
      <c r="C513" s="22"/>
      <c r="D513" s="22"/>
      <c r="E513" s="3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1"/>
      <c r="B514" s="22"/>
      <c r="C514" s="22"/>
      <c r="D514" s="22"/>
      <c r="E514" s="3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1"/>
      <c r="B515" s="22"/>
      <c r="C515" s="22"/>
      <c r="D515" s="22"/>
      <c r="E515" s="3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1"/>
      <c r="B516" s="22"/>
      <c r="C516" s="22"/>
      <c r="D516" s="22"/>
      <c r="E516" s="3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1"/>
      <c r="B517" s="22"/>
      <c r="C517" s="22"/>
      <c r="D517" s="22"/>
      <c r="E517" s="3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1"/>
      <c r="B518" s="22"/>
      <c r="C518" s="22"/>
      <c r="D518" s="22"/>
      <c r="E518" s="3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1"/>
      <c r="B519" s="22"/>
      <c r="C519" s="22"/>
      <c r="D519" s="22"/>
      <c r="E519" s="3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1"/>
      <c r="B520" s="22"/>
      <c r="C520" s="22"/>
      <c r="D520" s="22"/>
      <c r="E520" s="3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1"/>
      <c r="B521" s="22"/>
      <c r="C521" s="22"/>
      <c r="D521" s="22"/>
      <c r="E521" s="3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1"/>
      <c r="B522" s="22"/>
      <c r="C522" s="22"/>
      <c r="D522" s="22"/>
      <c r="E522" s="3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1"/>
      <c r="B523" s="22"/>
      <c r="C523" s="22"/>
      <c r="D523" s="22"/>
      <c r="E523" s="3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1"/>
      <c r="B524" s="22"/>
      <c r="C524" s="22"/>
      <c r="D524" s="22"/>
      <c r="E524" s="3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1"/>
      <c r="B525" s="22"/>
      <c r="C525" s="22"/>
      <c r="D525" s="22"/>
      <c r="E525" s="3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1"/>
      <c r="B526" s="22"/>
      <c r="C526" s="22"/>
      <c r="D526" s="22"/>
      <c r="E526" s="3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1"/>
      <c r="B527" s="22"/>
      <c r="C527" s="22"/>
      <c r="D527" s="22"/>
      <c r="E527" s="3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1"/>
      <c r="B528" s="22"/>
      <c r="C528" s="22"/>
      <c r="D528" s="22"/>
      <c r="E528" s="3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1"/>
      <c r="B529" s="22"/>
      <c r="C529" s="22"/>
      <c r="D529" s="22"/>
      <c r="E529" s="3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1"/>
      <c r="B530" s="22"/>
      <c r="C530" s="22"/>
      <c r="D530" s="22"/>
      <c r="E530" s="3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1"/>
      <c r="B531" s="22"/>
      <c r="C531" s="22"/>
      <c r="D531" s="22"/>
      <c r="E531" s="3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1"/>
      <c r="B532" s="22"/>
      <c r="C532" s="22"/>
      <c r="D532" s="22"/>
      <c r="E532" s="3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1"/>
      <c r="B533" s="22"/>
      <c r="C533" s="22"/>
      <c r="D533" s="22"/>
      <c r="E533" s="3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1"/>
      <c r="B534" s="22"/>
      <c r="C534" s="22"/>
      <c r="D534" s="22"/>
      <c r="E534" s="3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1"/>
      <c r="B535" s="22"/>
      <c r="C535" s="22"/>
      <c r="D535" s="22"/>
      <c r="E535" s="3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1"/>
      <c r="B536" s="22"/>
      <c r="C536" s="22"/>
      <c r="D536" s="22"/>
      <c r="E536" s="3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1"/>
      <c r="B537" s="22"/>
      <c r="C537" s="22"/>
      <c r="D537" s="22"/>
      <c r="E537" s="3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1"/>
      <c r="B538" s="22"/>
      <c r="C538" s="22"/>
      <c r="D538" s="22"/>
      <c r="E538" s="3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1"/>
      <c r="B539" s="22"/>
      <c r="C539" s="22"/>
      <c r="D539" s="22"/>
      <c r="E539" s="3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1"/>
      <c r="B540" s="22"/>
      <c r="C540" s="22"/>
      <c r="D540" s="22"/>
      <c r="E540" s="3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1"/>
      <c r="B541" s="22"/>
      <c r="C541" s="22"/>
      <c r="D541" s="22"/>
      <c r="E541" s="3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1"/>
      <c r="B542" s="22"/>
      <c r="C542" s="22"/>
      <c r="D542" s="22"/>
      <c r="E542" s="3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1"/>
      <c r="B543" s="22"/>
      <c r="C543" s="22"/>
      <c r="D543" s="22"/>
      <c r="E543" s="3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1"/>
      <c r="B544" s="22"/>
      <c r="C544" s="22"/>
      <c r="D544" s="22"/>
      <c r="E544" s="3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1"/>
      <c r="B545" s="22"/>
      <c r="C545" s="22"/>
      <c r="D545" s="22"/>
      <c r="E545" s="3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1"/>
      <c r="B546" s="22"/>
      <c r="C546" s="22"/>
      <c r="D546" s="22"/>
      <c r="E546" s="3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1"/>
      <c r="B547" s="22"/>
      <c r="C547" s="22"/>
      <c r="D547" s="22"/>
      <c r="E547" s="3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1"/>
      <c r="B548" s="22"/>
      <c r="C548" s="22"/>
      <c r="D548" s="22"/>
      <c r="E548" s="3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1"/>
      <c r="B549" s="22"/>
      <c r="C549" s="22"/>
      <c r="D549" s="22"/>
      <c r="E549" s="3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1"/>
      <c r="B550" s="22"/>
      <c r="C550" s="22"/>
      <c r="D550" s="22"/>
      <c r="E550" s="3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1"/>
      <c r="B551" s="22"/>
      <c r="C551" s="22"/>
      <c r="D551" s="22"/>
      <c r="E551" s="3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1"/>
      <c r="B552" s="22"/>
      <c r="C552" s="22"/>
      <c r="D552" s="22"/>
      <c r="E552" s="3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1"/>
      <c r="B553" s="22"/>
      <c r="C553" s="22"/>
      <c r="D553" s="22"/>
      <c r="E553" s="3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1"/>
      <c r="B554" s="22"/>
      <c r="C554" s="22"/>
      <c r="D554" s="22"/>
      <c r="E554" s="3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1"/>
      <c r="B555" s="22"/>
      <c r="C555" s="22"/>
      <c r="D555" s="22"/>
      <c r="E555" s="3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1"/>
      <c r="B556" s="22"/>
      <c r="C556" s="22"/>
      <c r="D556" s="22"/>
      <c r="E556" s="3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1"/>
      <c r="B557" s="22"/>
      <c r="C557" s="22"/>
      <c r="D557" s="22"/>
      <c r="E557" s="3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1"/>
      <c r="B558" s="22"/>
      <c r="C558" s="22"/>
      <c r="D558" s="22"/>
      <c r="E558" s="3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1"/>
      <c r="B559" s="22"/>
      <c r="C559" s="22"/>
      <c r="D559" s="22"/>
      <c r="E559" s="3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1"/>
      <c r="B560" s="22"/>
      <c r="C560" s="22"/>
      <c r="D560" s="22"/>
      <c r="E560" s="3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1"/>
      <c r="B561" s="22"/>
      <c r="C561" s="22"/>
      <c r="D561" s="22"/>
      <c r="E561" s="3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1"/>
      <c r="B562" s="22"/>
      <c r="C562" s="22"/>
      <c r="D562" s="22"/>
      <c r="E562" s="3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1"/>
      <c r="B563" s="22"/>
      <c r="C563" s="22"/>
      <c r="D563" s="22"/>
      <c r="E563" s="3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1"/>
      <c r="B564" s="22"/>
      <c r="C564" s="22"/>
      <c r="D564" s="22"/>
      <c r="E564" s="3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1"/>
      <c r="B565" s="22"/>
      <c r="C565" s="22"/>
      <c r="D565" s="22"/>
      <c r="E565" s="3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1"/>
      <c r="B566" s="22"/>
      <c r="C566" s="22"/>
      <c r="D566" s="22"/>
      <c r="E566" s="3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1"/>
      <c r="B567" s="22"/>
      <c r="C567" s="22"/>
      <c r="D567" s="22"/>
      <c r="E567" s="3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1"/>
      <c r="B568" s="22"/>
      <c r="C568" s="22"/>
      <c r="D568" s="22"/>
      <c r="E568" s="3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1"/>
      <c r="B569" s="22"/>
      <c r="C569" s="22"/>
      <c r="D569" s="22"/>
      <c r="E569" s="3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1"/>
      <c r="B570" s="22"/>
      <c r="C570" s="22"/>
      <c r="D570" s="22"/>
      <c r="E570" s="3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1"/>
      <c r="B571" s="22"/>
      <c r="C571" s="22"/>
      <c r="D571" s="22"/>
      <c r="E571" s="3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1"/>
      <c r="B572" s="22"/>
      <c r="C572" s="22"/>
      <c r="D572" s="22"/>
      <c r="E572" s="3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1"/>
      <c r="B573" s="22"/>
      <c r="C573" s="22"/>
      <c r="D573" s="22"/>
      <c r="E573" s="3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1"/>
      <c r="B574" s="22"/>
      <c r="C574" s="22"/>
      <c r="D574" s="22"/>
      <c r="E574" s="3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1"/>
      <c r="B575" s="22"/>
      <c r="C575" s="22"/>
      <c r="D575" s="22"/>
      <c r="E575" s="3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1"/>
      <c r="B576" s="22"/>
      <c r="C576" s="22"/>
      <c r="D576" s="22"/>
      <c r="E576" s="3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1"/>
      <c r="B577" s="22"/>
      <c r="C577" s="22"/>
      <c r="D577" s="22"/>
      <c r="E577" s="3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1"/>
      <c r="B578" s="22"/>
      <c r="C578" s="22"/>
      <c r="D578" s="22"/>
      <c r="E578" s="3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1"/>
      <c r="B579" s="22"/>
      <c r="C579" s="22"/>
      <c r="D579" s="22"/>
      <c r="E579" s="3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1"/>
      <c r="B580" s="22"/>
      <c r="C580" s="22"/>
      <c r="D580" s="22"/>
      <c r="E580" s="3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1"/>
      <c r="B581" s="22"/>
      <c r="C581" s="22"/>
      <c r="D581" s="22"/>
      <c r="E581" s="3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1"/>
      <c r="B582" s="22"/>
      <c r="C582" s="22"/>
      <c r="D582" s="22"/>
      <c r="E582" s="3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1"/>
      <c r="B583" s="22"/>
      <c r="C583" s="22"/>
      <c r="D583" s="22"/>
      <c r="E583" s="3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1"/>
      <c r="B584" s="22"/>
      <c r="C584" s="22"/>
      <c r="D584" s="22"/>
      <c r="E584" s="3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1"/>
      <c r="B585" s="22"/>
      <c r="C585" s="22"/>
      <c r="D585" s="22"/>
      <c r="E585" s="3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1"/>
      <c r="B586" s="22"/>
      <c r="C586" s="22"/>
      <c r="D586" s="22"/>
      <c r="E586" s="3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1"/>
      <c r="B587" s="22"/>
      <c r="C587" s="22"/>
      <c r="D587" s="22"/>
      <c r="E587" s="3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1"/>
      <c r="B588" s="22"/>
      <c r="C588" s="22"/>
      <c r="D588" s="22"/>
      <c r="E588" s="3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1"/>
      <c r="B589" s="22"/>
      <c r="C589" s="22"/>
      <c r="D589" s="22"/>
      <c r="E589" s="3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1"/>
      <c r="B590" s="22"/>
      <c r="C590" s="22"/>
      <c r="D590" s="22"/>
      <c r="E590" s="3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1"/>
      <c r="B591" s="22"/>
      <c r="C591" s="22"/>
      <c r="D591" s="22"/>
      <c r="E591" s="3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1"/>
      <c r="B592" s="22"/>
      <c r="C592" s="22"/>
      <c r="D592" s="22"/>
      <c r="E592" s="3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1"/>
      <c r="B593" s="22"/>
      <c r="C593" s="22"/>
      <c r="D593" s="22"/>
      <c r="E593" s="3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1"/>
      <c r="B594" s="22"/>
      <c r="C594" s="22"/>
      <c r="D594" s="22"/>
      <c r="E594" s="3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1"/>
      <c r="B595" s="22"/>
      <c r="C595" s="22"/>
      <c r="D595" s="22"/>
      <c r="E595" s="3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1"/>
      <c r="B596" s="22"/>
      <c r="C596" s="22"/>
      <c r="D596" s="22"/>
      <c r="E596" s="3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1"/>
      <c r="B597" s="22"/>
      <c r="C597" s="22"/>
      <c r="D597" s="22"/>
      <c r="E597" s="3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1"/>
      <c r="B598" s="22"/>
      <c r="C598" s="22"/>
      <c r="D598" s="22"/>
      <c r="E598" s="3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1"/>
      <c r="B599" s="22"/>
      <c r="C599" s="22"/>
      <c r="D599" s="22"/>
      <c r="E599" s="3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1"/>
      <c r="B600" s="22"/>
      <c r="C600" s="22"/>
      <c r="D600" s="22"/>
      <c r="E600" s="3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1"/>
      <c r="B601" s="22"/>
      <c r="C601" s="22"/>
      <c r="D601" s="22"/>
      <c r="E601" s="3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1"/>
      <c r="B602" s="22"/>
      <c r="C602" s="22"/>
      <c r="D602" s="22"/>
      <c r="E602" s="3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1"/>
      <c r="B603" s="22"/>
      <c r="C603" s="22"/>
      <c r="D603" s="22"/>
      <c r="E603" s="3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1"/>
      <c r="B604" s="22"/>
      <c r="C604" s="22"/>
      <c r="D604" s="22"/>
      <c r="E604" s="3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1"/>
      <c r="B605" s="22"/>
      <c r="C605" s="22"/>
      <c r="D605" s="22"/>
      <c r="E605" s="3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1"/>
      <c r="B606" s="22"/>
      <c r="C606" s="22"/>
      <c r="D606" s="22"/>
      <c r="E606" s="3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1"/>
      <c r="B607" s="22"/>
      <c r="C607" s="22"/>
      <c r="D607" s="22"/>
      <c r="E607" s="3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1"/>
      <c r="B608" s="22"/>
      <c r="C608" s="22"/>
      <c r="D608" s="22"/>
      <c r="E608" s="3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1"/>
      <c r="B609" s="22"/>
      <c r="C609" s="22"/>
      <c r="D609" s="22"/>
      <c r="E609" s="3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1"/>
      <c r="B610" s="22"/>
      <c r="C610" s="22"/>
      <c r="D610" s="22"/>
      <c r="E610" s="3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1"/>
      <c r="B611" s="22"/>
      <c r="C611" s="22"/>
      <c r="D611" s="22"/>
      <c r="E611" s="3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1"/>
      <c r="B612" s="22"/>
      <c r="C612" s="22"/>
      <c r="D612" s="22"/>
      <c r="E612" s="3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1"/>
      <c r="B613" s="22"/>
      <c r="C613" s="22"/>
      <c r="D613" s="22"/>
      <c r="E613" s="3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1"/>
      <c r="B614" s="22"/>
      <c r="C614" s="22"/>
      <c r="D614" s="22"/>
      <c r="E614" s="3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1"/>
      <c r="B615" s="22"/>
      <c r="C615" s="22"/>
      <c r="D615" s="22"/>
      <c r="E615" s="3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1"/>
      <c r="B616" s="22"/>
      <c r="C616" s="22"/>
      <c r="D616" s="22"/>
      <c r="E616" s="3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1"/>
      <c r="B617" s="22"/>
      <c r="C617" s="22"/>
      <c r="D617" s="22"/>
      <c r="E617" s="3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1"/>
      <c r="B618" s="22"/>
      <c r="C618" s="22"/>
      <c r="D618" s="22"/>
      <c r="E618" s="3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1"/>
      <c r="B619" s="22"/>
      <c r="C619" s="22"/>
      <c r="D619" s="22"/>
      <c r="E619" s="3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1"/>
      <c r="B620" s="22"/>
      <c r="C620" s="22"/>
      <c r="D620" s="22"/>
      <c r="E620" s="3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1"/>
      <c r="B621" s="22"/>
      <c r="C621" s="22"/>
      <c r="D621" s="22"/>
      <c r="E621" s="3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1"/>
      <c r="B622" s="22"/>
      <c r="C622" s="22"/>
      <c r="D622" s="22"/>
      <c r="E622" s="3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1"/>
      <c r="B623" s="22"/>
      <c r="C623" s="22"/>
      <c r="D623" s="22"/>
      <c r="E623" s="3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1"/>
      <c r="B624" s="22"/>
      <c r="C624" s="22"/>
      <c r="D624" s="22"/>
      <c r="E624" s="3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1"/>
      <c r="B625" s="22"/>
      <c r="C625" s="22"/>
      <c r="D625" s="22"/>
      <c r="E625" s="3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1"/>
      <c r="B626" s="22"/>
      <c r="C626" s="22"/>
      <c r="D626" s="22"/>
      <c r="E626" s="3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1"/>
      <c r="B627" s="22"/>
      <c r="C627" s="22"/>
      <c r="D627" s="22"/>
      <c r="E627" s="3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1"/>
      <c r="B628" s="22"/>
      <c r="C628" s="22"/>
      <c r="D628" s="22"/>
      <c r="E628" s="3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1"/>
      <c r="B629" s="22"/>
      <c r="C629" s="22"/>
      <c r="D629" s="22"/>
      <c r="E629" s="3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1"/>
      <c r="B630" s="22"/>
      <c r="C630" s="22"/>
      <c r="D630" s="22"/>
      <c r="E630" s="3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1"/>
      <c r="B631" s="22"/>
      <c r="C631" s="22"/>
      <c r="D631" s="22"/>
      <c r="E631" s="3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1"/>
      <c r="B632" s="22"/>
      <c r="C632" s="22"/>
      <c r="D632" s="22"/>
      <c r="E632" s="3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1"/>
      <c r="B633" s="22"/>
      <c r="C633" s="22"/>
      <c r="D633" s="22"/>
      <c r="E633" s="3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1"/>
      <c r="B634" s="22"/>
      <c r="C634" s="22"/>
      <c r="D634" s="22"/>
      <c r="E634" s="3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1"/>
      <c r="B635" s="22"/>
      <c r="C635" s="22"/>
      <c r="D635" s="22"/>
      <c r="E635" s="3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1"/>
      <c r="B636" s="22"/>
      <c r="C636" s="22"/>
      <c r="D636" s="22"/>
      <c r="E636" s="3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1"/>
      <c r="B637" s="22"/>
      <c r="C637" s="22"/>
      <c r="D637" s="22"/>
      <c r="E637" s="3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1"/>
      <c r="B638" s="22"/>
      <c r="C638" s="22"/>
      <c r="D638" s="22"/>
      <c r="E638" s="3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1"/>
      <c r="B639" s="22"/>
      <c r="C639" s="22"/>
      <c r="D639" s="22"/>
      <c r="E639" s="3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1"/>
      <c r="B640" s="22"/>
      <c r="C640" s="22"/>
      <c r="D640" s="22"/>
      <c r="E640" s="3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1"/>
      <c r="B641" s="22"/>
      <c r="C641" s="22"/>
      <c r="D641" s="22"/>
      <c r="E641" s="3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1"/>
      <c r="B642" s="22"/>
      <c r="C642" s="22"/>
      <c r="D642" s="22"/>
      <c r="E642" s="3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1"/>
      <c r="B643" s="22"/>
      <c r="C643" s="22"/>
      <c r="D643" s="22"/>
      <c r="E643" s="3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1"/>
      <c r="B644" s="22"/>
      <c r="C644" s="22"/>
      <c r="D644" s="22"/>
      <c r="E644" s="3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1"/>
      <c r="B645" s="22"/>
      <c r="C645" s="22"/>
      <c r="D645" s="22"/>
      <c r="E645" s="3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1"/>
      <c r="B646" s="22"/>
      <c r="C646" s="22"/>
      <c r="D646" s="22"/>
      <c r="E646" s="3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1"/>
      <c r="B647" s="22"/>
      <c r="C647" s="22"/>
      <c r="D647" s="22"/>
      <c r="E647" s="3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1"/>
      <c r="B648" s="22"/>
      <c r="C648" s="22"/>
      <c r="D648" s="22"/>
      <c r="E648" s="3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1"/>
      <c r="B649" s="22"/>
      <c r="C649" s="22"/>
      <c r="D649" s="22"/>
      <c r="E649" s="3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1"/>
      <c r="B650" s="22"/>
      <c r="C650" s="22"/>
      <c r="D650" s="22"/>
      <c r="E650" s="3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1"/>
      <c r="B651" s="22"/>
      <c r="C651" s="22"/>
      <c r="D651" s="22"/>
      <c r="E651" s="3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1"/>
      <c r="B652" s="22"/>
      <c r="C652" s="22"/>
      <c r="D652" s="22"/>
      <c r="E652" s="3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1"/>
      <c r="B653" s="22"/>
      <c r="C653" s="22"/>
      <c r="D653" s="22"/>
      <c r="E653" s="3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1"/>
      <c r="B654" s="22"/>
      <c r="C654" s="22"/>
      <c r="D654" s="22"/>
      <c r="E654" s="3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1"/>
      <c r="B655" s="22"/>
      <c r="C655" s="22"/>
      <c r="D655" s="22"/>
      <c r="E655" s="3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1"/>
      <c r="B656" s="22"/>
      <c r="C656" s="22"/>
      <c r="D656" s="22"/>
      <c r="E656" s="3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1"/>
      <c r="B657" s="22"/>
      <c r="C657" s="22"/>
      <c r="D657" s="22"/>
      <c r="E657" s="3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1"/>
      <c r="B658" s="22"/>
      <c r="C658" s="22"/>
      <c r="D658" s="22"/>
      <c r="E658" s="3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1"/>
      <c r="B659" s="22"/>
      <c r="C659" s="22"/>
      <c r="D659" s="22"/>
      <c r="E659" s="3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1"/>
      <c r="B660" s="22"/>
      <c r="C660" s="22"/>
      <c r="D660" s="22"/>
      <c r="E660" s="3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1"/>
      <c r="B661" s="22"/>
      <c r="C661" s="22"/>
      <c r="D661" s="22"/>
      <c r="E661" s="3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1"/>
      <c r="B662" s="22"/>
      <c r="C662" s="22"/>
      <c r="D662" s="22"/>
      <c r="E662" s="3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1"/>
      <c r="B663" s="22"/>
      <c r="C663" s="22"/>
      <c r="D663" s="22"/>
      <c r="E663" s="3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1"/>
      <c r="B664" s="22"/>
      <c r="C664" s="22"/>
      <c r="D664" s="22"/>
      <c r="E664" s="3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1"/>
      <c r="B665" s="22"/>
      <c r="C665" s="22"/>
      <c r="D665" s="22"/>
      <c r="E665" s="3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1"/>
      <c r="B666" s="22"/>
      <c r="C666" s="22"/>
      <c r="D666" s="22"/>
      <c r="E666" s="3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1"/>
      <c r="B667" s="22"/>
      <c r="C667" s="22"/>
      <c r="D667" s="22"/>
      <c r="E667" s="3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1"/>
      <c r="B668" s="22"/>
      <c r="C668" s="22"/>
      <c r="D668" s="22"/>
      <c r="E668" s="3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1"/>
      <c r="B669" s="22"/>
      <c r="C669" s="22"/>
      <c r="D669" s="22"/>
      <c r="E669" s="3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1"/>
      <c r="B670" s="22"/>
      <c r="C670" s="22"/>
      <c r="D670" s="22"/>
      <c r="E670" s="3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1"/>
      <c r="B671" s="22"/>
      <c r="C671" s="22"/>
      <c r="D671" s="22"/>
      <c r="E671" s="3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1"/>
      <c r="B672" s="22"/>
      <c r="C672" s="22"/>
      <c r="D672" s="22"/>
      <c r="E672" s="3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1"/>
      <c r="B673" s="22"/>
      <c r="C673" s="22"/>
      <c r="D673" s="22"/>
      <c r="E673" s="3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1"/>
      <c r="B674" s="22"/>
      <c r="C674" s="22"/>
      <c r="D674" s="22"/>
      <c r="E674" s="3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1"/>
      <c r="B675" s="22"/>
      <c r="C675" s="22"/>
      <c r="D675" s="22"/>
      <c r="E675" s="3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1"/>
      <c r="B676" s="22"/>
      <c r="C676" s="22"/>
      <c r="D676" s="22"/>
      <c r="E676" s="3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1"/>
      <c r="B677" s="22"/>
      <c r="C677" s="22"/>
      <c r="D677" s="22"/>
      <c r="E677" s="3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1"/>
      <c r="B678" s="22"/>
      <c r="C678" s="22"/>
      <c r="D678" s="22"/>
      <c r="E678" s="3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1"/>
      <c r="B679" s="22"/>
      <c r="C679" s="22"/>
      <c r="D679" s="22"/>
      <c r="E679" s="3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1"/>
      <c r="B680" s="22"/>
      <c r="C680" s="22"/>
      <c r="D680" s="22"/>
      <c r="E680" s="3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1"/>
      <c r="B681" s="22"/>
      <c r="C681" s="22"/>
      <c r="D681" s="22"/>
      <c r="E681" s="3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1"/>
      <c r="B682" s="22"/>
      <c r="C682" s="22"/>
      <c r="D682" s="22"/>
      <c r="E682" s="3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1"/>
      <c r="B683" s="22"/>
      <c r="C683" s="22"/>
      <c r="D683" s="22"/>
      <c r="E683" s="3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1"/>
      <c r="B684" s="22"/>
      <c r="C684" s="22"/>
      <c r="D684" s="22"/>
      <c r="E684" s="3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1"/>
      <c r="B685" s="22"/>
      <c r="C685" s="22"/>
      <c r="D685" s="22"/>
      <c r="E685" s="3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1"/>
      <c r="B686" s="22"/>
      <c r="C686" s="22"/>
      <c r="D686" s="22"/>
      <c r="E686" s="3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1"/>
      <c r="B687" s="22"/>
      <c r="C687" s="22"/>
      <c r="D687" s="22"/>
      <c r="E687" s="3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1"/>
      <c r="B688" s="22"/>
      <c r="C688" s="22"/>
      <c r="D688" s="22"/>
      <c r="E688" s="3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1"/>
      <c r="B689" s="22"/>
      <c r="C689" s="22"/>
      <c r="D689" s="22"/>
      <c r="E689" s="3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1"/>
      <c r="B690" s="22"/>
      <c r="C690" s="22"/>
      <c r="D690" s="22"/>
      <c r="E690" s="3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1"/>
      <c r="B691" s="22"/>
      <c r="C691" s="22"/>
      <c r="D691" s="22"/>
      <c r="E691" s="3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1"/>
      <c r="B692" s="22"/>
      <c r="C692" s="22"/>
      <c r="D692" s="22"/>
      <c r="E692" s="3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1"/>
      <c r="B693" s="22"/>
      <c r="C693" s="22"/>
      <c r="D693" s="22"/>
      <c r="E693" s="3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1"/>
      <c r="B694" s="22"/>
      <c r="C694" s="22"/>
      <c r="D694" s="22"/>
      <c r="E694" s="3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1"/>
      <c r="B695" s="22"/>
      <c r="C695" s="22"/>
      <c r="D695" s="22"/>
      <c r="E695" s="3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1"/>
      <c r="B696" s="22"/>
      <c r="C696" s="22"/>
      <c r="D696" s="22"/>
      <c r="E696" s="3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1"/>
      <c r="B697" s="22"/>
      <c r="C697" s="22"/>
      <c r="D697" s="22"/>
      <c r="E697" s="3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1"/>
      <c r="B698" s="22"/>
      <c r="C698" s="22"/>
      <c r="D698" s="22"/>
      <c r="E698" s="3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1"/>
      <c r="B699" s="22"/>
      <c r="C699" s="22"/>
      <c r="D699" s="22"/>
      <c r="E699" s="3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1"/>
      <c r="B700" s="22"/>
      <c r="C700" s="22"/>
      <c r="D700" s="22"/>
      <c r="E700" s="3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1"/>
      <c r="B701" s="22"/>
      <c r="C701" s="22"/>
      <c r="D701" s="22"/>
      <c r="E701" s="3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1"/>
      <c r="B702" s="22"/>
      <c r="C702" s="22"/>
      <c r="D702" s="22"/>
      <c r="E702" s="3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1"/>
      <c r="B703" s="22"/>
      <c r="C703" s="22"/>
      <c r="D703" s="22"/>
      <c r="E703" s="3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1"/>
      <c r="B704" s="22"/>
      <c r="C704" s="22"/>
      <c r="D704" s="22"/>
      <c r="E704" s="3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1"/>
      <c r="B705" s="22"/>
      <c r="C705" s="22"/>
      <c r="D705" s="22"/>
      <c r="E705" s="3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1"/>
      <c r="B706" s="22"/>
      <c r="C706" s="22"/>
      <c r="D706" s="22"/>
      <c r="E706" s="3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1"/>
      <c r="B707" s="22"/>
      <c r="C707" s="22"/>
      <c r="D707" s="22"/>
      <c r="E707" s="3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1"/>
      <c r="B708" s="22"/>
      <c r="C708" s="22"/>
      <c r="D708" s="22"/>
      <c r="E708" s="3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1"/>
      <c r="B709" s="22"/>
      <c r="C709" s="22"/>
      <c r="D709" s="22"/>
      <c r="E709" s="3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1"/>
      <c r="B710" s="22"/>
      <c r="C710" s="22"/>
      <c r="D710" s="22"/>
      <c r="E710" s="3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1"/>
      <c r="B711" s="22"/>
      <c r="C711" s="22"/>
      <c r="D711" s="22"/>
      <c r="E711" s="3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1"/>
      <c r="B712" s="22"/>
      <c r="C712" s="22"/>
      <c r="D712" s="22"/>
      <c r="E712" s="3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1"/>
      <c r="B713" s="22"/>
      <c r="C713" s="22"/>
      <c r="D713" s="22"/>
      <c r="E713" s="3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1"/>
      <c r="B714" s="22"/>
      <c r="C714" s="22"/>
      <c r="D714" s="22"/>
      <c r="E714" s="3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1"/>
      <c r="B715" s="22"/>
      <c r="C715" s="22"/>
      <c r="D715" s="22"/>
      <c r="E715" s="3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1"/>
      <c r="B716" s="22"/>
      <c r="C716" s="22"/>
      <c r="D716" s="22"/>
      <c r="E716" s="3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1"/>
      <c r="B717" s="22"/>
      <c r="C717" s="22"/>
      <c r="D717" s="22"/>
      <c r="E717" s="3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1"/>
      <c r="B718" s="22"/>
      <c r="C718" s="22"/>
      <c r="D718" s="22"/>
      <c r="E718" s="3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1"/>
      <c r="B719" s="22"/>
      <c r="C719" s="22"/>
      <c r="D719" s="22"/>
      <c r="E719" s="3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1"/>
      <c r="B720" s="22"/>
      <c r="C720" s="22"/>
      <c r="D720" s="22"/>
      <c r="E720" s="3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1"/>
      <c r="B721" s="22"/>
      <c r="C721" s="22"/>
      <c r="D721" s="22"/>
      <c r="E721" s="3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1"/>
      <c r="B722" s="22"/>
      <c r="C722" s="22"/>
      <c r="D722" s="22"/>
      <c r="E722" s="3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1"/>
      <c r="B723" s="22"/>
      <c r="C723" s="22"/>
      <c r="D723" s="22"/>
      <c r="E723" s="3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1"/>
      <c r="B724" s="22"/>
      <c r="C724" s="22"/>
      <c r="D724" s="22"/>
      <c r="E724" s="3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1"/>
      <c r="B725" s="22"/>
      <c r="C725" s="22"/>
      <c r="D725" s="22"/>
      <c r="E725" s="3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1"/>
      <c r="B726" s="22"/>
      <c r="C726" s="22"/>
      <c r="D726" s="22"/>
      <c r="E726" s="3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1"/>
      <c r="B727" s="22"/>
      <c r="C727" s="22"/>
      <c r="D727" s="22"/>
      <c r="E727" s="3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1"/>
      <c r="B728" s="22"/>
      <c r="C728" s="22"/>
      <c r="D728" s="22"/>
      <c r="E728" s="3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1"/>
      <c r="B729" s="22"/>
      <c r="C729" s="22"/>
      <c r="D729" s="22"/>
      <c r="E729" s="3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1"/>
      <c r="B730" s="22"/>
      <c r="C730" s="22"/>
      <c r="D730" s="22"/>
      <c r="E730" s="3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1"/>
      <c r="B731" s="22"/>
      <c r="C731" s="22"/>
      <c r="D731" s="22"/>
      <c r="E731" s="3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1"/>
      <c r="B732" s="22"/>
      <c r="C732" s="22"/>
      <c r="D732" s="22"/>
      <c r="E732" s="3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1"/>
      <c r="B733" s="22"/>
      <c r="C733" s="22"/>
      <c r="D733" s="22"/>
      <c r="E733" s="3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1"/>
      <c r="B734" s="22"/>
      <c r="C734" s="22"/>
      <c r="D734" s="22"/>
      <c r="E734" s="3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1"/>
      <c r="B735" s="22"/>
      <c r="C735" s="22"/>
      <c r="D735" s="22"/>
      <c r="E735" s="3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1"/>
      <c r="B736" s="22"/>
      <c r="C736" s="22"/>
      <c r="D736" s="22"/>
      <c r="E736" s="3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1"/>
      <c r="B737" s="22"/>
      <c r="C737" s="22"/>
      <c r="D737" s="22"/>
      <c r="E737" s="3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1"/>
      <c r="B738" s="22"/>
      <c r="C738" s="22"/>
      <c r="D738" s="22"/>
      <c r="E738" s="3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1"/>
      <c r="B739" s="22"/>
      <c r="C739" s="22"/>
      <c r="D739" s="22"/>
      <c r="E739" s="3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1"/>
      <c r="B740" s="22"/>
      <c r="C740" s="22"/>
      <c r="D740" s="22"/>
      <c r="E740" s="3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1"/>
      <c r="B741" s="22"/>
      <c r="C741" s="22"/>
      <c r="D741" s="22"/>
      <c r="E741" s="3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1"/>
      <c r="B742" s="22"/>
      <c r="C742" s="22"/>
      <c r="D742" s="22"/>
      <c r="E742" s="3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1"/>
      <c r="B743" s="22"/>
      <c r="C743" s="22"/>
      <c r="D743" s="22"/>
      <c r="E743" s="3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1"/>
      <c r="B744" s="22"/>
      <c r="C744" s="22"/>
      <c r="D744" s="22"/>
      <c r="E744" s="3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1"/>
      <c r="B745" s="22"/>
      <c r="C745" s="22"/>
      <c r="D745" s="22"/>
      <c r="E745" s="3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1"/>
      <c r="B746" s="22"/>
      <c r="C746" s="22"/>
      <c r="D746" s="22"/>
      <c r="E746" s="3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1"/>
      <c r="B747" s="22"/>
      <c r="C747" s="22"/>
      <c r="D747" s="22"/>
      <c r="E747" s="3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1"/>
      <c r="B748" s="22"/>
      <c r="C748" s="22"/>
      <c r="D748" s="22"/>
      <c r="E748" s="3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1"/>
      <c r="B749" s="22"/>
      <c r="C749" s="22"/>
      <c r="D749" s="22"/>
      <c r="E749" s="3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1"/>
      <c r="B750" s="22"/>
      <c r="C750" s="22"/>
      <c r="D750" s="22"/>
      <c r="E750" s="3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1"/>
      <c r="B751" s="22"/>
      <c r="C751" s="22"/>
      <c r="D751" s="22"/>
      <c r="E751" s="3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1"/>
      <c r="B752" s="22"/>
      <c r="C752" s="22"/>
      <c r="D752" s="22"/>
      <c r="E752" s="3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1"/>
      <c r="B753" s="22"/>
      <c r="C753" s="22"/>
      <c r="D753" s="22"/>
      <c r="E753" s="3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1"/>
      <c r="B754" s="22"/>
      <c r="C754" s="22"/>
      <c r="D754" s="22"/>
      <c r="E754" s="3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1"/>
      <c r="B755" s="22"/>
      <c r="C755" s="22"/>
      <c r="D755" s="22"/>
      <c r="E755" s="3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1"/>
      <c r="B756" s="22"/>
      <c r="C756" s="22"/>
      <c r="D756" s="22"/>
      <c r="E756" s="3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1"/>
      <c r="B757" s="22"/>
      <c r="C757" s="22"/>
      <c r="D757" s="22"/>
      <c r="E757" s="3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1"/>
      <c r="B758" s="22"/>
      <c r="C758" s="22"/>
      <c r="D758" s="22"/>
      <c r="E758" s="3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1"/>
      <c r="B759" s="22"/>
      <c r="C759" s="22"/>
      <c r="D759" s="22"/>
      <c r="E759" s="3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1"/>
      <c r="B760" s="22"/>
      <c r="C760" s="22"/>
      <c r="D760" s="22"/>
      <c r="E760" s="3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1"/>
      <c r="B761" s="22"/>
      <c r="C761" s="22"/>
      <c r="D761" s="22"/>
      <c r="E761" s="3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1"/>
      <c r="B762" s="22"/>
      <c r="C762" s="22"/>
      <c r="D762" s="22"/>
      <c r="E762" s="3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1"/>
      <c r="B763" s="22"/>
      <c r="C763" s="22"/>
      <c r="D763" s="22"/>
      <c r="E763" s="3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1"/>
      <c r="B764" s="22"/>
      <c r="C764" s="22"/>
      <c r="D764" s="22"/>
      <c r="E764" s="3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1"/>
      <c r="B765" s="22"/>
      <c r="C765" s="22"/>
      <c r="D765" s="22"/>
      <c r="E765" s="3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1"/>
      <c r="B766" s="22"/>
      <c r="C766" s="22"/>
      <c r="D766" s="22"/>
      <c r="E766" s="3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1"/>
      <c r="B767" s="22"/>
      <c r="C767" s="22"/>
      <c r="D767" s="22"/>
      <c r="E767" s="3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1"/>
      <c r="B768" s="22"/>
      <c r="C768" s="22"/>
      <c r="D768" s="22"/>
      <c r="E768" s="3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1"/>
      <c r="B769" s="22"/>
      <c r="C769" s="22"/>
      <c r="D769" s="22"/>
      <c r="E769" s="3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1"/>
      <c r="B770" s="22"/>
      <c r="C770" s="22"/>
      <c r="D770" s="22"/>
      <c r="E770" s="3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1"/>
      <c r="B771" s="22"/>
      <c r="C771" s="22"/>
      <c r="D771" s="22"/>
      <c r="E771" s="3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1"/>
      <c r="B772" s="22"/>
      <c r="C772" s="22"/>
      <c r="D772" s="22"/>
      <c r="E772" s="3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1"/>
      <c r="B773" s="22"/>
      <c r="C773" s="22"/>
      <c r="D773" s="22"/>
      <c r="E773" s="3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1"/>
      <c r="B774" s="22"/>
      <c r="C774" s="22"/>
      <c r="D774" s="22"/>
      <c r="E774" s="3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1"/>
      <c r="B775" s="22"/>
      <c r="C775" s="22"/>
      <c r="D775" s="22"/>
      <c r="E775" s="3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1"/>
      <c r="B776" s="22"/>
      <c r="C776" s="22"/>
      <c r="D776" s="22"/>
      <c r="E776" s="3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1"/>
      <c r="B777" s="22"/>
      <c r="C777" s="22"/>
      <c r="D777" s="22"/>
      <c r="E777" s="3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1"/>
      <c r="B778" s="22"/>
      <c r="C778" s="22"/>
      <c r="D778" s="22"/>
      <c r="E778" s="3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1"/>
      <c r="B779" s="22"/>
      <c r="C779" s="22"/>
      <c r="D779" s="22"/>
      <c r="E779" s="3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1"/>
      <c r="B780" s="22"/>
      <c r="C780" s="22"/>
      <c r="D780" s="22"/>
      <c r="E780" s="3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1"/>
      <c r="B781" s="22"/>
      <c r="C781" s="22"/>
      <c r="D781" s="22"/>
      <c r="E781" s="3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1"/>
      <c r="B782" s="22"/>
      <c r="C782" s="22"/>
      <c r="D782" s="22"/>
      <c r="E782" s="3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1"/>
      <c r="B783" s="22"/>
      <c r="C783" s="22"/>
      <c r="D783" s="22"/>
      <c r="E783" s="3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1"/>
      <c r="B784" s="22"/>
      <c r="C784" s="22"/>
      <c r="D784" s="22"/>
      <c r="E784" s="3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1"/>
      <c r="B785" s="22"/>
      <c r="C785" s="22"/>
      <c r="D785" s="22"/>
      <c r="E785" s="3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1"/>
      <c r="B786" s="22"/>
      <c r="C786" s="22"/>
      <c r="D786" s="22"/>
      <c r="E786" s="3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1"/>
      <c r="B787" s="22"/>
      <c r="C787" s="22"/>
      <c r="D787" s="22"/>
      <c r="E787" s="3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1"/>
      <c r="B788" s="22"/>
      <c r="C788" s="22"/>
      <c r="D788" s="22"/>
      <c r="E788" s="3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1"/>
      <c r="B789" s="22"/>
      <c r="C789" s="22"/>
      <c r="D789" s="22"/>
      <c r="E789" s="3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1"/>
      <c r="B790" s="22"/>
      <c r="C790" s="22"/>
      <c r="D790" s="22"/>
      <c r="E790" s="3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1"/>
      <c r="B791" s="22"/>
      <c r="C791" s="22"/>
      <c r="D791" s="22"/>
      <c r="E791" s="3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1"/>
      <c r="B792" s="22"/>
      <c r="C792" s="22"/>
      <c r="D792" s="22"/>
      <c r="E792" s="3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1"/>
      <c r="B793" s="22"/>
      <c r="C793" s="22"/>
      <c r="D793" s="22"/>
      <c r="E793" s="3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1"/>
      <c r="B794" s="22"/>
      <c r="C794" s="22"/>
      <c r="D794" s="22"/>
      <c r="E794" s="3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1"/>
      <c r="B795" s="22"/>
      <c r="C795" s="22"/>
      <c r="D795" s="22"/>
      <c r="E795" s="3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1"/>
      <c r="B796" s="22"/>
      <c r="C796" s="22"/>
      <c r="D796" s="22"/>
      <c r="E796" s="3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1"/>
      <c r="B797" s="22"/>
      <c r="C797" s="22"/>
      <c r="D797" s="22"/>
      <c r="E797" s="3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1"/>
      <c r="B798" s="22"/>
      <c r="C798" s="22"/>
      <c r="D798" s="22"/>
      <c r="E798" s="3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1"/>
      <c r="B799" s="22"/>
      <c r="C799" s="22"/>
      <c r="D799" s="22"/>
      <c r="E799" s="3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1"/>
      <c r="B800" s="22"/>
      <c r="C800" s="22"/>
      <c r="D800" s="22"/>
      <c r="E800" s="3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1"/>
      <c r="B801" s="22"/>
      <c r="C801" s="22"/>
      <c r="D801" s="22"/>
      <c r="E801" s="3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1"/>
      <c r="B802" s="22"/>
      <c r="C802" s="22"/>
      <c r="D802" s="22"/>
      <c r="E802" s="3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1"/>
      <c r="B803" s="22"/>
      <c r="C803" s="22"/>
      <c r="D803" s="22"/>
      <c r="E803" s="3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1"/>
      <c r="B804" s="22"/>
      <c r="C804" s="22"/>
      <c r="D804" s="22"/>
      <c r="E804" s="3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1"/>
      <c r="B805" s="22"/>
      <c r="C805" s="22"/>
      <c r="D805" s="22"/>
      <c r="E805" s="3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1"/>
      <c r="B806" s="22"/>
      <c r="C806" s="22"/>
      <c r="D806" s="22"/>
      <c r="E806" s="3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1"/>
      <c r="B807" s="22"/>
      <c r="C807" s="22"/>
      <c r="D807" s="22"/>
      <c r="E807" s="3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1"/>
      <c r="B808" s="22"/>
      <c r="C808" s="22"/>
      <c r="D808" s="22"/>
      <c r="E808" s="3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1"/>
      <c r="B809" s="22"/>
      <c r="C809" s="22"/>
      <c r="D809" s="22"/>
      <c r="E809" s="3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1"/>
      <c r="B810" s="22"/>
      <c r="C810" s="22"/>
      <c r="D810" s="22"/>
      <c r="E810" s="3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1"/>
      <c r="B811" s="22"/>
      <c r="C811" s="22"/>
      <c r="D811" s="22"/>
      <c r="E811" s="3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1"/>
      <c r="B812" s="22"/>
      <c r="C812" s="22"/>
      <c r="D812" s="22"/>
      <c r="E812" s="3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1"/>
      <c r="B813" s="22"/>
      <c r="C813" s="22"/>
      <c r="D813" s="22"/>
      <c r="E813" s="3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1"/>
      <c r="B814" s="22"/>
      <c r="C814" s="22"/>
      <c r="D814" s="22"/>
      <c r="E814" s="3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1"/>
      <c r="B815" s="22"/>
      <c r="C815" s="22"/>
      <c r="D815" s="22"/>
      <c r="E815" s="3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1"/>
      <c r="B816" s="22"/>
      <c r="C816" s="22"/>
      <c r="D816" s="22"/>
      <c r="E816" s="3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1"/>
      <c r="B817" s="22"/>
      <c r="C817" s="22"/>
      <c r="D817" s="22"/>
      <c r="E817" s="3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1"/>
      <c r="B818" s="22"/>
      <c r="C818" s="22"/>
      <c r="D818" s="22"/>
      <c r="E818" s="3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1"/>
      <c r="B819" s="22"/>
      <c r="C819" s="22"/>
      <c r="D819" s="22"/>
      <c r="E819" s="3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1"/>
      <c r="B820" s="22"/>
      <c r="C820" s="22"/>
      <c r="D820" s="22"/>
      <c r="E820" s="3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1"/>
      <c r="B821" s="22"/>
      <c r="C821" s="22"/>
      <c r="D821" s="22"/>
      <c r="E821" s="3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1"/>
      <c r="B822" s="22"/>
      <c r="C822" s="22"/>
      <c r="D822" s="22"/>
      <c r="E822" s="3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1"/>
      <c r="B823" s="22"/>
      <c r="C823" s="22"/>
      <c r="D823" s="22"/>
      <c r="E823" s="3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1"/>
      <c r="B824" s="22"/>
      <c r="C824" s="22"/>
      <c r="D824" s="22"/>
      <c r="E824" s="3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1"/>
      <c r="B825" s="22"/>
      <c r="C825" s="22"/>
      <c r="D825" s="22"/>
      <c r="E825" s="3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1"/>
      <c r="B826" s="22"/>
      <c r="C826" s="22"/>
      <c r="D826" s="22"/>
      <c r="E826" s="3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1"/>
      <c r="B827" s="22"/>
      <c r="C827" s="22"/>
      <c r="D827" s="22"/>
      <c r="E827" s="3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1"/>
      <c r="B828" s="22"/>
      <c r="C828" s="22"/>
      <c r="D828" s="22"/>
      <c r="E828" s="3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1"/>
      <c r="B829" s="22"/>
      <c r="C829" s="22"/>
      <c r="D829" s="22"/>
      <c r="E829" s="3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1"/>
      <c r="B830" s="22"/>
      <c r="C830" s="22"/>
      <c r="D830" s="22"/>
      <c r="E830" s="3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1"/>
      <c r="B831" s="22"/>
      <c r="C831" s="22"/>
      <c r="D831" s="22"/>
      <c r="E831" s="3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1"/>
      <c r="B832" s="22"/>
      <c r="C832" s="22"/>
      <c r="D832" s="22"/>
      <c r="E832" s="3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1"/>
      <c r="B833" s="22"/>
      <c r="C833" s="22"/>
      <c r="D833" s="22"/>
      <c r="E833" s="3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1"/>
      <c r="B834" s="22"/>
      <c r="C834" s="22"/>
      <c r="D834" s="22"/>
      <c r="E834" s="3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1"/>
      <c r="B835" s="22"/>
      <c r="C835" s="22"/>
      <c r="D835" s="22"/>
      <c r="E835" s="3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1"/>
      <c r="B836" s="22"/>
      <c r="C836" s="22"/>
      <c r="D836" s="22"/>
      <c r="E836" s="3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1"/>
      <c r="B837" s="22"/>
      <c r="C837" s="22"/>
      <c r="D837" s="22"/>
      <c r="E837" s="3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1"/>
      <c r="B838" s="22"/>
      <c r="C838" s="22"/>
      <c r="D838" s="22"/>
      <c r="E838" s="3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1"/>
      <c r="B839" s="22"/>
      <c r="C839" s="22"/>
      <c r="D839" s="22"/>
      <c r="E839" s="3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1"/>
      <c r="B840" s="22"/>
      <c r="C840" s="22"/>
      <c r="D840" s="22"/>
      <c r="E840" s="3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1"/>
      <c r="B841" s="22"/>
      <c r="C841" s="22"/>
      <c r="D841" s="22"/>
      <c r="E841" s="3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1"/>
      <c r="B842" s="22"/>
      <c r="C842" s="22"/>
      <c r="D842" s="22"/>
      <c r="E842" s="3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1"/>
      <c r="B843" s="22"/>
      <c r="C843" s="22"/>
      <c r="D843" s="22"/>
      <c r="E843" s="3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1"/>
      <c r="B844" s="22"/>
      <c r="C844" s="22"/>
      <c r="D844" s="22"/>
      <c r="E844" s="3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1"/>
      <c r="B845" s="22"/>
      <c r="C845" s="22"/>
      <c r="D845" s="22"/>
      <c r="E845" s="3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1"/>
      <c r="B846" s="22"/>
      <c r="C846" s="22"/>
      <c r="D846" s="22"/>
      <c r="E846" s="3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1"/>
      <c r="B847" s="22"/>
      <c r="C847" s="22"/>
      <c r="D847" s="22"/>
      <c r="E847" s="3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1"/>
      <c r="B848" s="22"/>
      <c r="C848" s="22"/>
      <c r="D848" s="22"/>
      <c r="E848" s="3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1"/>
      <c r="B849" s="22"/>
      <c r="C849" s="22"/>
      <c r="D849" s="22"/>
      <c r="E849" s="3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1"/>
      <c r="B850" s="22"/>
      <c r="C850" s="22"/>
      <c r="D850" s="22"/>
      <c r="E850" s="3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1"/>
      <c r="B851" s="22"/>
      <c r="C851" s="22"/>
      <c r="D851" s="22"/>
      <c r="E851" s="3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1"/>
      <c r="B852" s="22"/>
      <c r="C852" s="22"/>
      <c r="D852" s="22"/>
      <c r="E852" s="3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1"/>
      <c r="B853" s="22"/>
      <c r="C853" s="22"/>
      <c r="D853" s="22"/>
      <c r="E853" s="3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1"/>
      <c r="B854" s="22"/>
      <c r="C854" s="22"/>
      <c r="D854" s="22"/>
      <c r="E854" s="3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1"/>
      <c r="B855" s="22"/>
      <c r="C855" s="22"/>
      <c r="D855" s="22"/>
      <c r="E855" s="3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1"/>
      <c r="B856" s="22"/>
      <c r="C856" s="22"/>
      <c r="D856" s="22"/>
      <c r="E856" s="3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1"/>
      <c r="B857" s="22"/>
      <c r="C857" s="22"/>
      <c r="D857" s="22"/>
      <c r="E857" s="3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1"/>
      <c r="B858" s="22"/>
      <c r="C858" s="22"/>
      <c r="D858" s="22"/>
      <c r="E858" s="3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1"/>
      <c r="B859" s="22"/>
      <c r="C859" s="22"/>
      <c r="D859" s="22"/>
      <c r="E859" s="3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1"/>
      <c r="B860" s="22"/>
      <c r="C860" s="22"/>
      <c r="D860" s="22"/>
      <c r="E860" s="3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1"/>
      <c r="B861" s="22"/>
      <c r="C861" s="22"/>
      <c r="D861" s="22"/>
      <c r="E861" s="3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1"/>
      <c r="B862" s="22"/>
      <c r="C862" s="22"/>
      <c r="D862" s="22"/>
      <c r="E862" s="3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1"/>
      <c r="B863" s="22"/>
      <c r="C863" s="22"/>
      <c r="D863" s="22"/>
      <c r="E863" s="3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1"/>
      <c r="B864" s="22"/>
      <c r="C864" s="22"/>
      <c r="D864" s="22"/>
      <c r="E864" s="3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1"/>
      <c r="B865" s="22"/>
      <c r="C865" s="22"/>
      <c r="D865" s="22"/>
      <c r="E865" s="3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1"/>
      <c r="B866" s="22"/>
      <c r="C866" s="22"/>
      <c r="D866" s="22"/>
      <c r="E866" s="3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1"/>
      <c r="B867" s="22"/>
      <c r="C867" s="22"/>
      <c r="D867" s="22"/>
      <c r="E867" s="3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1"/>
      <c r="B868" s="22"/>
      <c r="C868" s="22"/>
      <c r="D868" s="22"/>
      <c r="E868" s="3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1"/>
      <c r="B869" s="22"/>
      <c r="C869" s="22"/>
      <c r="D869" s="22"/>
      <c r="E869" s="3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1"/>
      <c r="B870" s="22"/>
      <c r="C870" s="22"/>
      <c r="D870" s="22"/>
      <c r="E870" s="3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1"/>
      <c r="B871" s="22"/>
      <c r="C871" s="22"/>
      <c r="D871" s="22"/>
      <c r="E871" s="3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1"/>
      <c r="B872" s="22"/>
      <c r="C872" s="22"/>
      <c r="D872" s="22"/>
      <c r="E872" s="3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1"/>
      <c r="B873" s="22"/>
      <c r="C873" s="22"/>
      <c r="D873" s="22"/>
      <c r="E873" s="3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1"/>
      <c r="B874" s="22"/>
      <c r="C874" s="22"/>
      <c r="D874" s="22"/>
      <c r="E874" s="3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1"/>
      <c r="B875" s="22"/>
      <c r="C875" s="22"/>
      <c r="D875" s="22"/>
      <c r="E875" s="3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1"/>
      <c r="B876" s="22"/>
      <c r="C876" s="22"/>
      <c r="D876" s="22"/>
      <c r="E876" s="3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1"/>
      <c r="B877" s="22"/>
      <c r="C877" s="22"/>
      <c r="D877" s="22"/>
      <c r="E877" s="3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1"/>
      <c r="B878" s="22"/>
      <c r="C878" s="22"/>
      <c r="D878" s="22"/>
      <c r="E878" s="3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1"/>
      <c r="B879" s="22"/>
      <c r="C879" s="22"/>
      <c r="D879" s="22"/>
      <c r="E879" s="3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1"/>
      <c r="B880" s="22"/>
      <c r="C880" s="22"/>
      <c r="D880" s="22"/>
      <c r="E880" s="3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1"/>
      <c r="B881" s="22"/>
      <c r="C881" s="22"/>
      <c r="D881" s="22"/>
      <c r="E881" s="3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1"/>
      <c r="B882" s="22"/>
      <c r="C882" s="22"/>
      <c r="D882" s="22"/>
      <c r="E882" s="3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1"/>
      <c r="B883" s="22"/>
      <c r="C883" s="22"/>
      <c r="D883" s="22"/>
      <c r="E883" s="3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1"/>
      <c r="B884" s="22"/>
      <c r="C884" s="22"/>
      <c r="D884" s="22"/>
      <c r="E884" s="3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1"/>
      <c r="B885" s="22"/>
      <c r="C885" s="22"/>
      <c r="D885" s="22"/>
      <c r="E885" s="3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1"/>
      <c r="B886" s="22"/>
      <c r="C886" s="22"/>
      <c r="D886" s="22"/>
      <c r="E886" s="3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1"/>
      <c r="B887" s="22"/>
      <c r="C887" s="22"/>
      <c r="D887" s="22"/>
      <c r="E887" s="3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1"/>
      <c r="B888" s="22"/>
      <c r="C888" s="22"/>
      <c r="D888" s="22"/>
      <c r="E888" s="3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1"/>
      <c r="B889" s="22"/>
      <c r="C889" s="22"/>
      <c r="D889" s="22"/>
      <c r="E889" s="3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1"/>
      <c r="B890" s="22"/>
      <c r="C890" s="22"/>
      <c r="D890" s="22"/>
      <c r="E890" s="3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1"/>
      <c r="B891" s="22"/>
      <c r="C891" s="22"/>
      <c r="D891" s="22"/>
      <c r="E891" s="3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1"/>
      <c r="B892" s="22"/>
      <c r="C892" s="22"/>
      <c r="D892" s="22"/>
      <c r="E892" s="3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1"/>
      <c r="B893" s="22"/>
      <c r="C893" s="22"/>
      <c r="D893" s="22"/>
      <c r="E893" s="3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1"/>
      <c r="B894" s="22"/>
      <c r="C894" s="22"/>
      <c r="D894" s="22"/>
      <c r="E894" s="3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1"/>
      <c r="B895" s="22"/>
      <c r="C895" s="22"/>
      <c r="D895" s="22"/>
      <c r="E895" s="3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1"/>
      <c r="B896" s="22"/>
      <c r="C896" s="22"/>
      <c r="D896" s="22"/>
      <c r="E896" s="3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1"/>
      <c r="B897" s="22"/>
      <c r="C897" s="22"/>
      <c r="D897" s="22"/>
      <c r="E897" s="3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1"/>
      <c r="B898" s="22"/>
      <c r="C898" s="22"/>
      <c r="D898" s="22"/>
      <c r="E898" s="3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1"/>
      <c r="B899" s="22"/>
      <c r="C899" s="22"/>
      <c r="D899" s="22"/>
      <c r="E899" s="3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1"/>
      <c r="B900" s="22"/>
      <c r="C900" s="22"/>
      <c r="D900" s="22"/>
      <c r="E900" s="3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1"/>
      <c r="B901" s="22"/>
      <c r="C901" s="22"/>
      <c r="D901" s="22"/>
      <c r="E901" s="3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1"/>
      <c r="B902" s="22"/>
      <c r="C902" s="22"/>
      <c r="D902" s="22"/>
      <c r="E902" s="3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1"/>
      <c r="B903" s="22"/>
      <c r="C903" s="22"/>
      <c r="D903" s="22"/>
      <c r="E903" s="3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1"/>
      <c r="B904" s="22"/>
      <c r="C904" s="22"/>
      <c r="D904" s="22"/>
      <c r="E904" s="3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1"/>
      <c r="B905" s="22"/>
      <c r="C905" s="22"/>
      <c r="D905" s="22"/>
      <c r="E905" s="3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1"/>
      <c r="B906" s="22"/>
      <c r="C906" s="22"/>
      <c r="D906" s="22"/>
      <c r="E906" s="3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1"/>
      <c r="B907" s="22"/>
      <c r="C907" s="22"/>
      <c r="D907" s="22"/>
      <c r="E907" s="3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1"/>
      <c r="B908" s="22"/>
      <c r="C908" s="22"/>
      <c r="D908" s="22"/>
      <c r="E908" s="3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1"/>
      <c r="B909" s="22"/>
      <c r="C909" s="22"/>
      <c r="D909" s="22"/>
      <c r="E909" s="3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1"/>
      <c r="B910" s="22"/>
      <c r="C910" s="22"/>
      <c r="D910" s="22"/>
      <c r="E910" s="3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1"/>
      <c r="B911" s="22"/>
      <c r="C911" s="22"/>
      <c r="D911" s="22"/>
      <c r="E911" s="3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1"/>
      <c r="B912" s="22"/>
      <c r="C912" s="22"/>
      <c r="D912" s="22"/>
      <c r="E912" s="3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1"/>
      <c r="B913" s="22"/>
      <c r="C913" s="22"/>
      <c r="D913" s="22"/>
      <c r="E913" s="3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1"/>
      <c r="B914" s="22"/>
      <c r="C914" s="22"/>
      <c r="D914" s="22"/>
      <c r="E914" s="3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1"/>
      <c r="B915" s="22"/>
      <c r="C915" s="22"/>
      <c r="D915" s="22"/>
      <c r="E915" s="3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1"/>
      <c r="B916" s="22"/>
      <c r="C916" s="22"/>
      <c r="D916" s="22"/>
      <c r="E916" s="3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1"/>
      <c r="B917" s="22"/>
      <c r="C917" s="22"/>
      <c r="D917" s="22"/>
      <c r="E917" s="3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1"/>
      <c r="B918" s="22"/>
      <c r="C918" s="22"/>
      <c r="D918" s="22"/>
      <c r="E918" s="3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1"/>
      <c r="B919" s="22"/>
      <c r="C919" s="22"/>
      <c r="D919" s="22"/>
      <c r="E919" s="3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1"/>
      <c r="B920" s="22"/>
      <c r="C920" s="22"/>
      <c r="D920" s="22"/>
      <c r="E920" s="3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1"/>
      <c r="B921" s="22"/>
      <c r="C921" s="22"/>
      <c r="D921" s="22"/>
      <c r="E921" s="3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1"/>
      <c r="B922" s="22"/>
      <c r="C922" s="22"/>
      <c r="D922" s="22"/>
      <c r="E922" s="3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1"/>
      <c r="B923" s="22"/>
      <c r="C923" s="22"/>
      <c r="D923" s="22"/>
      <c r="E923" s="3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1"/>
      <c r="B924" s="22"/>
      <c r="C924" s="22"/>
      <c r="D924" s="22"/>
      <c r="E924" s="3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1"/>
      <c r="B925" s="22"/>
      <c r="C925" s="22"/>
      <c r="D925" s="22"/>
      <c r="E925" s="3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1"/>
      <c r="B926" s="22"/>
      <c r="C926" s="22"/>
      <c r="D926" s="22"/>
      <c r="E926" s="3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1"/>
      <c r="B927" s="22"/>
      <c r="C927" s="22"/>
      <c r="D927" s="22"/>
      <c r="E927" s="3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1"/>
      <c r="B928" s="22"/>
      <c r="C928" s="22"/>
      <c r="D928" s="22"/>
      <c r="E928" s="3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1"/>
      <c r="B929" s="22"/>
      <c r="C929" s="22"/>
      <c r="D929" s="22"/>
      <c r="E929" s="3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1"/>
      <c r="B930" s="22"/>
      <c r="C930" s="22"/>
      <c r="D930" s="22"/>
      <c r="E930" s="3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1"/>
      <c r="B931" s="22"/>
      <c r="C931" s="22"/>
      <c r="D931" s="22"/>
      <c r="E931" s="3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1"/>
      <c r="B932" s="22"/>
      <c r="C932" s="22"/>
      <c r="D932" s="22"/>
      <c r="E932" s="3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1"/>
      <c r="B933" s="22"/>
      <c r="C933" s="22"/>
      <c r="D933" s="22"/>
      <c r="E933" s="3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1"/>
      <c r="B934" s="22"/>
      <c r="C934" s="22"/>
      <c r="D934" s="22"/>
      <c r="E934" s="3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1"/>
      <c r="B935" s="22"/>
      <c r="C935" s="22"/>
      <c r="D935" s="22"/>
      <c r="E935" s="3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1"/>
      <c r="B936" s="22"/>
      <c r="C936" s="22"/>
      <c r="D936" s="22"/>
      <c r="E936" s="3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1"/>
      <c r="B937" s="22"/>
      <c r="C937" s="22"/>
      <c r="D937" s="22"/>
      <c r="E937" s="3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1"/>
      <c r="B938" s="22"/>
      <c r="C938" s="22"/>
      <c r="D938" s="22"/>
      <c r="E938" s="3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1"/>
      <c r="B939" s="22"/>
      <c r="C939" s="22"/>
      <c r="D939" s="22"/>
      <c r="E939" s="3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1"/>
      <c r="B940" s="22"/>
      <c r="C940" s="22"/>
      <c r="D940" s="22"/>
      <c r="E940" s="3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1"/>
      <c r="B941" s="22"/>
      <c r="C941" s="22"/>
      <c r="D941" s="22"/>
      <c r="E941" s="3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1"/>
      <c r="B942" s="22"/>
      <c r="C942" s="22"/>
      <c r="D942" s="22"/>
      <c r="E942" s="3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1"/>
      <c r="B943" s="22"/>
      <c r="C943" s="22"/>
      <c r="D943" s="22"/>
      <c r="E943" s="3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1"/>
      <c r="B944" s="22"/>
      <c r="C944" s="22"/>
      <c r="D944" s="22"/>
      <c r="E944" s="3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1"/>
      <c r="B945" s="22"/>
      <c r="C945" s="22"/>
      <c r="D945" s="22"/>
      <c r="E945" s="3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1"/>
      <c r="B946" s="22"/>
      <c r="C946" s="22"/>
      <c r="D946" s="22"/>
      <c r="E946" s="3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1"/>
      <c r="B947" s="22"/>
      <c r="C947" s="22"/>
      <c r="D947" s="22"/>
      <c r="E947" s="3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1"/>
      <c r="B948" s="22"/>
      <c r="C948" s="22"/>
      <c r="D948" s="22"/>
      <c r="E948" s="3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1"/>
      <c r="B949" s="22"/>
      <c r="C949" s="22"/>
      <c r="D949" s="22"/>
      <c r="E949" s="3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1"/>
      <c r="B950" s="22"/>
      <c r="C950" s="22"/>
      <c r="D950" s="22"/>
      <c r="E950" s="3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1"/>
      <c r="B951" s="22"/>
      <c r="C951" s="22"/>
      <c r="D951" s="22"/>
      <c r="E951" s="3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1"/>
      <c r="B952" s="22"/>
      <c r="C952" s="22"/>
      <c r="D952" s="22"/>
      <c r="E952" s="3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1"/>
      <c r="B953" s="22"/>
      <c r="C953" s="22"/>
      <c r="D953" s="22"/>
      <c r="E953" s="3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1"/>
      <c r="B954" s="22"/>
      <c r="C954" s="22"/>
      <c r="D954" s="22"/>
      <c r="E954" s="3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1"/>
      <c r="B955" s="22"/>
      <c r="C955" s="22"/>
      <c r="D955" s="22"/>
      <c r="E955" s="3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1"/>
      <c r="B956" s="22"/>
      <c r="C956" s="22"/>
      <c r="D956" s="22"/>
      <c r="E956" s="3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1"/>
      <c r="B957" s="22"/>
      <c r="C957" s="22"/>
      <c r="D957" s="22"/>
      <c r="E957" s="3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1"/>
      <c r="B958" s="22"/>
      <c r="C958" s="22"/>
      <c r="D958" s="22"/>
      <c r="E958" s="3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1"/>
      <c r="B959" s="22"/>
      <c r="C959" s="22"/>
      <c r="D959" s="22"/>
      <c r="E959" s="3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1"/>
      <c r="B960" s="22"/>
      <c r="C960" s="22"/>
      <c r="D960" s="22"/>
      <c r="E960" s="3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1"/>
      <c r="B961" s="22"/>
      <c r="C961" s="22"/>
      <c r="D961" s="22"/>
      <c r="E961" s="3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1"/>
      <c r="B962" s="22"/>
      <c r="C962" s="22"/>
      <c r="D962" s="22"/>
      <c r="E962" s="3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1"/>
      <c r="B963" s="22"/>
      <c r="C963" s="22"/>
      <c r="D963" s="22"/>
      <c r="E963" s="3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1"/>
      <c r="B964" s="22"/>
      <c r="C964" s="22"/>
      <c r="D964" s="22"/>
      <c r="E964" s="3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1"/>
      <c r="B965" s="22"/>
      <c r="C965" s="22"/>
      <c r="D965" s="22"/>
      <c r="E965" s="3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1"/>
      <c r="B966" s="22"/>
      <c r="C966" s="22"/>
      <c r="D966" s="22"/>
      <c r="E966" s="3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1"/>
      <c r="B967" s="22"/>
      <c r="C967" s="22"/>
      <c r="D967" s="22"/>
      <c r="E967" s="3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1"/>
      <c r="B968" s="22"/>
      <c r="C968" s="22"/>
      <c r="D968" s="22"/>
      <c r="E968" s="3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1"/>
      <c r="B969" s="22"/>
      <c r="C969" s="22"/>
      <c r="D969" s="22"/>
      <c r="E969" s="3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1"/>
      <c r="B970" s="22"/>
      <c r="C970" s="22"/>
      <c r="D970" s="22"/>
      <c r="E970" s="3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1"/>
      <c r="B971" s="22"/>
      <c r="C971" s="22"/>
      <c r="D971" s="22"/>
      <c r="E971" s="3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1"/>
      <c r="B972" s="22"/>
      <c r="C972" s="22"/>
      <c r="D972" s="22"/>
      <c r="E972" s="3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1"/>
      <c r="B973" s="22"/>
      <c r="C973" s="22"/>
      <c r="D973" s="22"/>
      <c r="E973" s="3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1"/>
      <c r="B974" s="22"/>
      <c r="C974" s="22"/>
      <c r="D974" s="22"/>
      <c r="E974" s="3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1"/>
      <c r="B975" s="22"/>
      <c r="C975" s="22"/>
      <c r="D975" s="22"/>
      <c r="E975" s="3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1"/>
      <c r="B976" s="22"/>
      <c r="C976" s="22"/>
      <c r="D976" s="22"/>
      <c r="E976" s="3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1"/>
      <c r="B977" s="22"/>
      <c r="C977" s="22"/>
      <c r="D977" s="22"/>
      <c r="E977" s="3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1"/>
      <c r="B978" s="22"/>
      <c r="C978" s="22"/>
      <c r="D978" s="22"/>
      <c r="E978" s="3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1"/>
      <c r="B979" s="22"/>
      <c r="C979" s="22"/>
      <c r="D979" s="22"/>
      <c r="E979" s="3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1"/>
      <c r="B980" s="22"/>
      <c r="C980" s="22"/>
      <c r="D980" s="22"/>
      <c r="E980" s="3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1"/>
      <c r="B981" s="22"/>
      <c r="C981" s="22"/>
      <c r="D981" s="22"/>
      <c r="E981" s="3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1"/>
      <c r="B982" s="22"/>
      <c r="C982" s="22"/>
      <c r="D982" s="22"/>
      <c r="E982" s="3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1"/>
      <c r="B983" s="22"/>
      <c r="C983" s="22"/>
      <c r="D983" s="22"/>
      <c r="E983" s="3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1"/>
      <c r="B984" s="22"/>
      <c r="C984" s="22"/>
      <c r="D984" s="22"/>
      <c r="E984" s="3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1"/>
      <c r="B985" s="22"/>
      <c r="C985" s="22"/>
      <c r="D985" s="22"/>
      <c r="E985" s="3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1"/>
      <c r="B986" s="22"/>
      <c r="C986" s="22"/>
      <c r="D986" s="22"/>
      <c r="E986" s="3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1"/>
      <c r="B987" s="22"/>
      <c r="C987" s="22"/>
      <c r="D987" s="22"/>
      <c r="E987" s="3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1"/>
      <c r="B988" s="22"/>
      <c r="C988" s="22"/>
      <c r="D988" s="22"/>
      <c r="E988" s="3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21"/>
      <c r="B989" s="22"/>
      <c r="C989" s="22"/>
      <c r="D989" s="22"/>
      <c r="E989" s="3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21"/>
      <c r="B990" s="22"/>
      <c r="C990" s="22"/>
      <c r="D990" s="22"/>
      <c r="E990" s="3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21"/>
      <c r="B991" s="22"/>
      <c r="C991" s="22"/>
      <c r="D991" s="22"/>
      <c r="E991" s="3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21"/>
      <c r="B992" s="22"/>
      <c r="C992" s="22"/>
      <c r="D992" s="22"/>
      <c r="E992" s="3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21"/>
      <c r="B993" s="22"/>
      <c r="C993" s="22"/>
      <c r="D993" s="22"/>
      <c r="E993" s="3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21"/>
      <c r="B994" s="22"/>
      <c r="C994" s="22"/>
      <c r="D994" s="22"/>
      <c r="E994" s="3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21"/>
      <c r="B995" s="22"/>
      <c r="C995" s="22"/>
      <c r="D995" s="22"/>
      <c r="E995" s="3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21"/>
      <c r="B996" s="22"/>
      <c r="C996" s="22"/>
      <c r="D996" s="22"/>
      <c r="E996" s="3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21"/>
      <c r="B997" s="22"/>
      <c r="C997" s="22"/>
      <c r="D997" s="22"/>
      <c r="E997" s="3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21"/>
      <c r="B998" s="22"/>
      <c r="C998" s="22"/>
      <c r="D998" s="22"/>
      <c r="E998" s="3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>
      <c r="A999" s="21"/>
      <c r="B999" s="22"/>
      <c r="C999" s="22"/>
      <c r="D999" s="22"/>
      <c r="E999" s="3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>
      <c r="A1000" s="21"/>
      <c r="B1000" s="22"/>
      <c r="C1000" s="22"/>
      <c r="D1000" s="22"/>
      <c r="E1000" s="3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>
      <c r="A1001" s="21"/>
      <c r="B1001" s="22"/>
      <c r="C1001" s="22"/>
      <c r="D1001" s="22"/>
      <c r="E1001" s="3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>
      <c r="A1002" s="21"/>
      <c r="B1002" s="22"/>
      <c r="C1002" s="22"/>
      <c r="D1002" s="22"/>
      <c r="E1002" s="3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  <row r="1003">
      <c r="A1003" s="21"/>
      <c r="B1003" s="22"/>
      <c r="C1003" s="22"/>
      <c r="D1003" s="22"/>
      <c r="E1003" s="3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</row>
    <row r="1004">
      <c r="A1004" s="21"/>
      <c r="B1004" s="22"/>
      <c r="C1004" s="22"/>
      <c r="D1004" s="22"/>
      <c r="E1004" s="3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</row>
    <row r="1005">
      <c r="A1005" s="21"/>
      <c r="B1005" s="22"/>
      <c r="C1005" s="22"/>
      <c r="D1005" s="22"/>
      <c r="E1005" s="3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</row>
    <row r="1006">
      <c r="A1006" s="21"/>
      <c r="B1006" s="22"/>
      <c r="C1006" s="22"/>
      <c r="D1006" s="22"/>
      <c r="E1006" s="3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</row>
    <row r="1007">
      <c r="A1007" s="21"/>
      <c r="B1007" s="22"/>
      <c r="C1007" s="22"/>
      <c r="D1007" s="22"/>
      <c r="E1007" s="3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</row>
    <row r="1008">
      <c r="A1008" s="21"/>
      <c r="B1008" s="22"/>
      <c r="C1008" s="22"/>
      <c r="D1008" s="22"/>
      <c r="E1008" s="3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</row>
    <row r="1009">
      <c r="A1009" s="21"/>
      <c r="B1009" s="22"/>
      <c r="C1009" s="22"/>
      <c r="D1009" s="22"/>
      <c r="E1009" s="3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</row>
    <row r="1010">
      <c r="A1010" s="21"/>
      <c r="B1010" s="22"/>
      <c r="C1010" s="22"/>
      <c r="D1010" s="22"/>
      <c r="E1010" s="3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</row>
    <row r="1011">
      <c r="A1011" s="21"/>
      <c r="B1011" s="22"/>
      <c r="C1011" s="22"/>
      <c r="D1011" s="22"/>
      <c r="E1011" s="3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</row>
    <row r="1012">
      <c r="A1012" s="21"/>
      <c r="B1012" s="22"/>
      <c r="C1012" s="22"/>
      <c r="D1012" s="22"/>
      <c r="E1012" s="3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</row>
    <row r="1013">
      <c r="A1013" s="21"/>
      <c r="B1013" s="22"/>
      <c r="C1013" s="22"/>
      <c r="D1013" s="22"/>
      <c r="E1013" s="3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</row>
    <row r="1014">
      <c r="A1014" s="21"/>
      <c r="B1014" s="22"/>
      <c r="C1014" s="22"/>
      <c r="D1014" s="22"/>
      <c r="E1014" s="3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</row>
    <row r="1015">
      <c r="A1015" s="21"/>
      <c r="B1015" s="22"/>
      <c r="C1015" s="22"/>
      <c r="D1015" s="22"/>
      <c r="E1015" s="3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</row>
    <row r="1016">
      <c r="A1016" s="21"/>
      <c r="B1016" s="22"/>
      <c r="C1016" s="22"/>
      <c r="D1016" s="22"/>
      <c r="E1016" s="3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</row>
    <row r="1017">
      <c r="A1017" s="21"/>
      <c r="B1017" s="22"/>
      <c r="C1017" s="22"/>
      <c r="D1017" s="22"/>
      <c r="E1017" s="3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</row>
    <row r="1018">
      <c r="A1018" s="21"/>
      <c r="B1018" s="22"/>
      <c r="C1018" s="22"/>
      <c r="D1018" s="22"/>
      <c r="E1018" s="3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</row>
    <row r="1019">
      <c r="A1019" s="21"/>
      <c r="B1019" s="22"/>
      <c r="C1019" s="22"/>
      <c r="D1019" s="22"/>
      <c r="E1019" s="3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</row>
    <row r="1020">
      <c r="A1020" s="21"/>
      <c r="B1020" s="22"/>
      <c r="C1020" s="22"/>
      <c r="D1020" s="22"/>
      <c r="E1020" s="3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</row>
    <row r="1021">
      <c r="A1021" s="21"/>
      <c r="B1021" s="22"/>
      <c r="C1021" s="22"/>
      <c r="D1021" s="22"/>
      <c r="E1021" s="3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</row>
    <row r="1022">
      <c r="A1022" s="21"/>
      <c r="B1022" s="22"/>
      <c r="C1022" s="22"/>
      <c r="D1022" s="22"/>
      <c r="E1022" s="3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</row>
    <row r="1023">
      <c r="A1023" s="21"/>
      <c r="B1023" s="22"/>
      <c r="C1023" s="22"/>
      <c r="D1023" s="22"/>
      <c r="E1023" s="3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</row>
    <row r="1024">
      <c r="A1024" s="21"/>
      <c r="B1024" s="22"/>
      <c r="C1024" s="22"/>
      <c r="D1024" s="22"/>
      <c r="E1024" s="3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</row>
    <row r="1025">
      <c r="A1025" s="21"/>
      <c r="B1025" s="22"/>
      <c r="C1025" s="22"/>
      <c r="D1025" s="22"/>
      <c r="E1025" s="3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</row>
    <row r="1026">
      <c r="A1026" s="21"/>
      <c r="B1026" s="22"/>
      <c r="C1026" s="22"/>
      <c r="D1026" s="22"/>
      <c r="E1026" s="3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</row>
    <row r="1027">
      <c r="A1027" s="21"/>
      <c r="B1027" s="22"/>
      <c r="C1027" s="22"/>
      <c r="D1027" s="22"/>
      <c r="E1027" s="3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</row>
    <row r="1028">
      <c r="A1028" s="21"/>
      <c r="B1028" s="22"/>
      <c r="C1028" s="22"/>
      <c r="D1028" s="22"/>
      <c r="E1028" s="3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</row>
    <row r="1029">
      <c r="A1029" s="21"/>
      <c r="B1029" s="22"/>
      <c r="C1029" s="22"/>
      <c r="D1029" s="22"/>
      <c r="E1029" s="3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</row>
    <row r="1030">
      <c r="A1030" s="21"/>
      <c r="B1030" s="22"/>
      <c r="C1030" s="22"/>
      <c r="D1030" s="22"/>
      <c r="E1030" s="3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</row>
    <row r="1031">
      <c r="A1031" s="21"/>
      <c r="B1031" s="22"/>
      <c r="C1031" s="22"/>
      <c r="D1031" s="22"/>
      <c r="E1031" s="3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</row>
    <row r="1032">
      <c r="A1032" s="21"/>
      <c r="B1032" s="22"/>
      <c r="C1032" s="22"/>
      <c r="D1032" s="22"/>
      <c r="E1032" s="3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</row>
    <row r="1033">
      <c r="A1033" s="21"/>
      <c r="B1033" s="22"/>
      <c r="C1033" s="22"/>
      <c r="D1033" s="22"/>
      <c r="E1033" s="3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</row>
    <row r="1034">
      <c r="A1034" s="21"/>
      <c r="B1034" s="22"/>
      <c r="C1034" s="22"/>
      <c r="D1034" s="22"/>
      <c r="E1034" s="3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</row>
    <row r="1035">
      <c r="A1035" s="21"/>
      <c r="B1035" s="22"/>
      <c r="C1035" s="22"/>
      <c r="D1035" s="22"/>
      <c r="E1035" s="3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</row>
    <row r="1036">
      <c r="A1036" s="21"/>
      <c r="B1036" s="22"/>
      <c r="C1036" s="22"/>
      <c r="D1036" s="22"/>
      <c r="E1036" s="3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</row>
    <row r="1037">
      <c r="A1037" s="21"/>
      <c r="B1037" s="22"/>
      <c r="C1037" s="22"/>
      <c r="D1037" s="22"/>
      <c r="E1037" s="3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</row>
    <row r="1038">
      <c r="A1038" s="21"/>
      <c r="B1038" s="22"/>
      <c r="C1038" s="22"/>
      <c r="D1038" s="22"/>
      <c r="E1038" s="3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</row>
    <row r="1039">
      <c r="A1039" s="21"/>
      <c r="B1039" s="22"/>
      <c r="C1039" s="22"/>
      <c r="D1039" s="22"/>
      <c r="E1039" s="3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</row>
    <row r="1040">
      <c r="A1040" s="21"/>
      <c r="B1040" s="22"/>
      <c r="C1040" s="22"/>
      <c r="D1040" s="22"/>
      <c r="E1040" s="3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</row>
    <row r="1041">
      <c r="A1041" s="21"/>
      <c r="B1041" s="22"/>
      <c r="C1041" s="22"/>
      <c r="D1041" s="22"/>
      <c r="E1041" s="3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</row>
    <row r="1042">
      <c r="A1042" s="21"/>
      <c r="B1042" s="22"/>
      <c r="C1042" s="22"/>
      <c r="D1042" s="22"/>
      <c r="E1042" s="3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</row>
    <row r="1043">
      <c r="A1043" s="21"/>
      <c r="B1043" s="22"/>
      <c r="C1043" s="22"/>
      <c r="D1043" s="22"/>
      <c r="E1043" s="3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</row>
    <row r="1044">
      <c r="A1044" s="21"/>
      <c r="B1044" s="22"/>
      <c r="C1044" s="22"/>
      <c r="D1044" s="22"/>
      <c r="E1044" s="3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</row>
    <row r="1045">
      <c r="A1045" s="21"/>
      <c r="B1045" s="22"/>
      <c r="C1045" s="22"/>
      <c r="D1045" s="22"/>
      <c r="E1045" s="3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</row>
    <row r="1046">
      <c r="A1046" s="21"/>
      <c r="B1046" s="22"/>
      <c r="C1046" s="22"/>
      <c r="D1046" s="22"/>
      <c r="E1046" s="3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</row>
    <row r="1047">
      <c r="A1047" s="21"/>
      <c r="B1047" s="22"/>
      <c r="C1047" s="22"/>
      <c r="D1047" s="22"/>
      <c r="E1047" s="3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</row>
    <row r="1048">
      <c r="A1048" s="21"/>
      <c r="B1048" s="22"/>
      <c r="C1048" s="22"/>
      <c r="D1048" s="22"/>
      <c r="E1048" s="3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</row>
    <row r="1049">
      <c r="A1049" s="21"/>
      <c r="B1049" s="22"/>
      <c r="C1049" s="22"/>
      <c r="D1049" s="22"/>
      <c r="E1049" s="3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</row>
    <row r="1050">
      <c r="A1050" s="21"/>
      <c r="B1050" s="22"/>
      <c r="C1050" s="22"/>
      <c r="D1050" s="22"/>
      <c r="E1050" s="3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</row>
    <row r="1051">
      <c r="A1051" s="21"/>
      <c r="B1051" s="22"/>
      <c r="C1051" s="22"/>
      <c r="D1051" s="22"/>
      <c r="E1051" s="3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</row>
    <row r="1052">
      <c r="A1052" s="21"/>
      <c r="B1052" s="22"/>
      <c r="C1052" s="22"/>
      <c r="D1052" s="22"/>
      <c r="E1052" s="3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</row>
    <row r="1053">
      <c r="A1053" s="21"/>
      <c r="B1053" s="22"/>
      <c r="C1053" s="22"/>
      <c r="D1053" s="22"/>
      <c r="E1053" s="3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</row>
    <row r="1054">
      <c r="A1054" s="21"/>
      <c r="B1054" s="22"/>
      <c r="C1054" s="22"/>
      <c r="D1054" s="22"/>
      <c r="E1054" s="3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</row>
    <row r="1055">
      <c r="A1055" s="21"/>
      <c r="B1055" s="22"/>
      <c r="C1055" s="22"/>
      <c r="D1055" s="22"/>
      <c r="E1055" s="3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</row>
    <row r="1056">
      <c r="A1056" s="21"/>
      <c r="B1056" s="22"/>
      <c r="C1056" s="22"/>
      <c r="D1056" s="22"/>
      <c r="E1056" s="3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</row>
    <row r="1057">
      <c r="A1057" s="21"/>
      <c r="B1057" s="22"/>
      <c r="C1057" s="22"/>
      <c r="D1057" s="22"/>
      <c r="E1057" s="3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</row>
    <row r="1058">
      <c r="A1058" s="21"/>
      <c r="B1058" s="22"/>
      <c r="C1058" s="22"/>
      <c r="D1058" s="22"/>
      <c r="E1058" s="3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</row>
    <row r="1059">
      <c r="A1059" s="21"/>
      <c r="B1059" s="22"/>
      <c r="C1059" s="22"/>
      <c r="D1059" s="22"/>
      <c r="E1059" s="3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</row>
    <row r="1060">
      <c r="A1060" s="21"/>
      <c r="B1060" s="22"/>
      <c r="C1060" s="22"/>
      <c r="D1060" s="22"/>
      <c r="E1060" s="3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</row>
    <row r="1061">
      <c r="A1061" s="21"/>
      <c r="B1061" s="22"/>
      <c r="C1061" s="22"/>
      <c r="D1061" s="22"/>
      <c r="E1061" s="3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</row>
    <row r="1062">
      <c r="A1062" s="21"/>
      <c r="B1062" s="22"/>
      <c r="C1062" s="22"/>
      <c r="D1062" s="22"/>
      <c r="E1062" s="3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</row>
    <row r="1063">
      <c r="A1063" s="21"/>
      <c r="B1063" s="22"/>
      <c r="C1063" s="22"/>
      <c r="D1063" s="22"/>
      <c r="E1063" s="3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</row>
    <row r="1064">
      <c r="A1064" s="21"/>
      <c r="B1064" s="22"/>
      <c r="C1064" s="22"/>
      <c r="D1064" s="22"/>
      <c r="E1064" s="3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</row>
    <row r="1065">
      <c r="A1065" s="21"/>
      <c r="B1065" s="22"/>
      <c r="C1065" s="22"/>
      <c r="D1065" s="22"/>
      <c r="E1065" s="3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</row>
    <row r="1066">
      <c r="A1066" s="21"/>
      <c r="B1066" s="22"/>
      <c r="C1066" s="22"/>
      <c r="D1066" s="22"/>
      <c r="E1066" s="3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</row>
    <row r="1067">
      <c r="A1067" s="21"/>
      <c r="B1067" s="22"/>
      <c r="C1067" s="22"/>
      <c r="D1067" s="22"/>
      <c r="E1067" s="3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</row>
    <row r="1068">
      <c r="A1068" s="21"/>
      <c r="B1068" s="22"/>
      <c r="C1068" s="22"/>
      <c r="D1068" s="22"/>
      <c r="E1068" s="3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</row>
    <row r="1069">
      <c r="A1069" s="21"/>
      <c r="B1069" s="22"/>
      <c r="C1069" s="22"/>
      <c r="D1069" s="22"/>
      <c r="E1069" s="3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</row>
    <row r="1070">
      <c r="A1070" s="21"/>
      <c r="B1070" s="22"/>
      <c r="C1070" s="22"/>
      <c r="D1070" s="22"/>
      <c r="E1070" s="3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</row>
    <row r="1071">
      <c r="A1071" s="21"/>
      <c r="B1071" s="22"/>
      <c r="C1071" s="22"/>
      <c r="D1071" s="22"/>
      <c r="E1071" s="3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</row>
    <row r="1072">
      <c r="A1072" s="21"/>
      <c r="B1072" s="22"/>
      <c r="C1072" s="22"/>
      <c r="D1072" s="22"/>
      <c r="E1072" s="3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</row>
    <row r="1073">
      <c r="A1073" s="21"/>
      <c r="B1073" s="22"/>
      <c r="C1073" s="22"/>
      <c r="D1073" s="22"/>
      <c r="E1073" s="3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</row>
    <row r="1074">
      <c r="A1074" s="21"/>
      <c r="B1074" s="22"/>
      <c r="C1074" s="22"/>
      <c r="D1074" s="22"/>
      <c r="E1074" s="3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</row>
    <row r="1075">
      <c r="A1075" s="21"/>
      <c r="B1075" s="22"/>
      <c r="C1075" s="22"/>
      <c r="D1075" s="22"/>
      <c r="E1075" s="3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</row>
    <row r="1076">
      <c r="A1076" s="21"/>
      <c r="B1076" s="22"/>
      <c r="C1076" s="22"/>
      <c r="D1076" s="22"/>
      <c r="E1076" s="3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</row>
    <row r="1077">
      <c r="A1077" s="21"/>
      <c r="B1077" s="22"/>
      <c r="C1077" s="22"/>
      <c r="D1077" s="22"/>
      <c r="E1077" s="3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</row>
    <row r="1078">
      <c r="A1078" s="21"/>
      <c r="B1078" s="22"/>
      <c r="C1078" s="22"/>
      <c r="D1078" s="22"/>
      <c r="E1078" s="3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</row>
    <row r="1079">
      <c r="A1079" s="21"/>
      <c r="B1079" s="22"/>
      <c r="C1079" s="22"/>
      <c r="D1079" s="22"/>
      <c r="E1079" s="3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</row>
    <row r="1080">
      <c r="A1080" s="21"/>
      <c r="B1080" s="22"/>
      <c r="C1080" s="22"/>
      <c r="D1080" s="22"/>
      <c r="E1080" s="3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</row>
    <row r="1081">
      <c r="A1081" s="21"/>
      <c r="B1081" s="22"/>
      <c r="C1081" s="22"/>
      <c r="D1081" s="22"/>
      <c r="E1081" s="3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</row>
    <row r="1082">
      <c r="A1082" s="21"/>
      <c r="B1082" s="22"/>
      <c r="C1082" s="22"/>
      <c r="D1082" s="22"/>
      <c r="E1082" s="3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</row>
    <row r="1083">
      <c r="A1083" s="21"/>
      <c r="B1083" s="22"/>
      <c r="C1083" s="22"/>
      <c r="D1083" s="22"/>
      <c r="E1083" s="3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</row>
    <row r="1084">
      <c r="A1084" s="21"/>
      <c r="B1084" s="22"/>
      <c r="C1084" s="22"/>
      <c r="D1084" s="22"/>
      <c r="E1084" s="3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</row>
    <row r="1085">
      <c r="A1085" s="21"/>
      <c r="B1085" s="22"/>
      <c r="C1085" s="22"/>
      <c r="D1085" s="22"/>
      <c r="E1085" s="3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</row>
    <row r="1086">
      <c r="A1086" s="21"/>
      <c r="B1086" s="22"/>
      <c r="C1086" s="22"/>
      <c r="D1086" s="22"/>
      <c r="E1086" s="3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</row>
    <row r="1087">
      <c r="A1087" s="21"/>
      <c r="B1087" s="22"/>
      <c r="C1087" s="22"/>
      <c r="D1087" s="22"/>
      <c r="E1087" s="3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</row>
    <row r="1088">
      <c r="A1088" s="21"/>
      <c r="B1088" s="22"/>
      <c r="C1088" s="22"/>
      <c r="D1088" s="22"/>
      <c r="E1088" s="3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</row>
    <row r="1089">
      <c r="A1089" s="21"/>
      <c r="B1089" s="22"/>
      <c r="C1089" s="22"/>
      <c r="D1089" s="22"/>
      <c r="E1089" s="3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</row>
    <row r="1090">
      <c r="A1090" s="21"/>
      <c r="B1090" s="22"/>
      <c r="C1090" s="22"/>
      <c r="D1090" s="22"/>
      <c r="E1090" s="3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</row>
    <row r="1091">
      <c r="A1091" s="21"/>
      <c r="B1091" s="22"/>
      <c r="C1091" s="22"/>
      <c r="D1091" s="22"/>
      <c r="E1091" s="3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</row>
    <row r="1092">
      <c r="A1092" s="21"/>
      <c r="B1092" s="22"/>
      <c r="C1092" s="22"/>
      <c r="D1092" s="22"/>
      <c r="E1092" s="3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</row>
    <row r="1093">
      <c r="A1093" s="21"/>
      <c r="B1093" s="22"/>
      <c r="C1093" s="22"/>
      <c r="D1093" s="22"/>
      <c r="E1093" s="3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</row>
    <row r="1094">
      <c r="A1094" s="21"/>
      <c r="B1094" s="22"/>
      <c r="C1094" s="22"/>
      <c r="D1094" s="22"/>
      <c r="E1094" s="3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</row>
    <row r="1095">
      <c r="A1095" s="21"/>
      <c r="B1095" s="22"/>
      <c r="C1095" s="22"/>
      <c r="D1095" s="22"/>
      <c r="E1095" s="3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</row>
    <row r="1096">
      <c r="A1096" s="21"/>
      <c r="B1096" s="22"/>
      <c r="C1096" s="22"/>
      <c r="D1096" s="22"/>
      <c r="E1096" s="3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</row>
    <row r="1097">
      <c r="A1097" s="21"/>
      <c r="B1097" s="22"/>
      <c r="C1097" s="22"/>
      <c r="D1097" s="22"/>
      <c r="E1097" s="3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</row>
    <row r="1098">
      <c r="A1098" s="21"/>
      <c r="B1098" s="22"/>
      <c r="C1098" s="22"/>
      <c r="D1098" s="22"/>
      <c r="E1098" s="3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</row>
    <row r="1099">
      <c r="A1099" s="21"/>
      <c r="B1099" s="22"/>
      <c r="C1099" s="22"/>
      <c r="D1099" s="22"/>
      <c r="E1099" s="3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</row>
    <row r="1100">
      <c r="A1100" s="21"/>
      <c r="B1100" s="22"/>
      <c r="C1100" s="22"/>
      <c r="D1100" s="22"/>
      <c r="E1100" s="3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</row>
    <row r="1101">
      <c r="A1101" s="21"/>
      <c r="B1101" s="22"/>
      <c r="C1101" s="22"/>
      <c r="D1101" s="22"/>
      <c r="E1101" s="3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</row>
    <row r="1102">
      <c r="A1102" s="21"/>
      <c r="B1102" s="22"/>
      <c r="C1102" s="22"/>
      <c r="D1102" s="22"/>
      <c r="E1102" s="3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</row>
    <row r="1103">
      <c r="A1103" s="21"/>
      <c r="B1103" s="22"/>
      <c r="C1103" s="22"/>
      <c r="D1103" s="22"/>
      <c r="E1103" s="3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</row>
    <row r="1104">
      <c r="A1104" s="21"/>
      <c r="B1104" s="22"/>
      <c r="C1104" s="22"/>
      <c r="D1104" s="22"/>
      <c r="E1104" s="3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</row>
    <row r="1105">
      <c r="A1105" s="21"/>
      <c r="B1105" s="22"/>
      <c r="C1105" s="22"/>
      <c r="D1105" s="22"/>
      <c r="E1105" s="3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</row>
    <row r="1106">
      <c r="A1106" s="21"/>
      <c r="B1106" s="22"/>
      <c r="C1106" s="22"/>
      <c r="D1106" s="22"/>
      <c r="E1106" s="3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</row>
    <row r="1107">
      <c r="A1107" s="21"/>
      <c r="B1107" s="22"/>
      <c r="C1107" s="22"/>
      <c r="D1107" s="22"/>
      <c r="E1107" s="3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</row>
    <row r="1108">
      <c r="A1108" s="21"/>
      <c r="B1108" s="22"/>
      <c r="C1108" s="22"/>
      <c r="D1108" s="22"/>
      <c r="E1108" s="3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</row>
    <row r="1109">
      <c r="A1109" s="21"/>
      <c r="B1109" s="22"/>
      <c r="C1109" s="22"/>
      <c r="D1109" s="22"/>
      <c r="E1109" s="3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</row>
    <row r="1110">
      <c r="A1110" s="21"/>
      <c r="B1110" s="22"/>
      <c r="C1110" s="22"/>
      <c r="D1110" s="22"/>
      <c r="E1110" s="3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</row>
    <row r="1111">
      <c r="A1111" s="21"/>
      <c r="B1111" s="22"/>
      <c r="C1111" s="22"/>
      <c r="D1111" s="22"/>
      <c r="E1111" s="3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</row>
    <row r="1112">
      <c r="A1112" s="21"/>
      <c r="B1112" s="22"/>
      <c r="C1112" s="22"/>
      <c r="D1112" s="22"/>
      <c r="E1112" s="3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</row>
    <row r="1113">
      <c r="A1113" s="21"/>
      <c r="B1113" s="22"/>
      <c r="C1113" s="22"/>
      <c r="D1113" s="22"/>
      <c r="E1113" s="3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</row>
    <row r="1114">
      <c r="A1114" s="21"/>
      <c r="B1114" s="22"/>
      <c r="C1114" s="22"/>
      <c r="D1114" s="22"/>
      <c r="E1114" s="3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</row>
    <row r="1115">
      <c r="A1115" s="21"/>
      <c r="B1115" s="22"/>
      <c r="C1115" s="22"/>
      <c r="D1115" s="22"/>
      <c r="E1115" s="3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</row>
    <row r="1116">
      <c r="A1116" s="21"/>
      <c r="B1116" s="22"/>
      <c r="C1116" s="22"/>
      <c r="D1116" s="22"/>
      <c r="E1116" s="3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</row>
    <row r="1117">
      <c r="A1117" s="21"/>
      <c r="B1117" s="22"/>
      <c r="C1117" s="22"/>
      <c r="D1117" s="22"/>
      <c r="E1117" s="3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</row>
    <row r="1118">
      <c r="A1118" s="21"/>
      <c r="B1118" s="22"/>
      <c r="C1118" s="22"/>
      <c r="D1118" s="22"/>
      <c r="E1118" s="3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</row>
    <row r="1119">
      <c r="A1119" s="21"/>
      <c r="B1119" s="22"/>
      <c r="C1119" s="22"/>
      <c r="D1119" s="22"/>
      <c r="E1119" s="3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</row>
    <row r="1120">
      <c r="A1120" s="21"/>
      <c r="B1120" s="22"/>
      <c r="C1120" s="22"/>
      <c r="D1120" s="22"/>
      <c r="E1120" s="3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</row>
    <row r="1121">
      <c r="A1121" s="21"/>
      <c r="B1121" s="22"/>
      <c r="C1121" s="22"/>
      <c r="D1121" s="22"/>
      <c r="E1121" s="3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</row>
    <row r="1122">
      <c r="A1122" s="21"/>
      <c r="B1122" s="22"/>
      <c r="C1122" s="22"/>
      <c r="D1122" s="22"/>
      <c r="E1122" s="3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</row>
    <row r="1123">
      <c r="A1123" s="21"/>
      <c r="B1123" s="22"/>
      <c r="C1123" s="22"/>
      <c r="D1123" s="22"/>
      <c r="E1123" s="3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</row>
    <row r="1124">
      <c r="A1124" s="21"/>
      <c r="B1124" s="22"/>
      <c r="C1124" s="22"/>
      <c r="D1124" s="22"/>
      <c r="E1124" s="3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</row>
    <row r="1125">
      <c r="A1125" s="21"/>
      <c r="B1125" s="22"/>
      <c r="C1125" s="22"/>
      <c r="D1125" s="22"/>
      <c r="E1125" s="3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</row>
    <row r="1126">
      <c r="A1126" s="21"/>
      <c r="B1126" s="22"/>
      <c r="C1126" s="22"/>
      <c r="D1126" s="22"/>
      <c r="E1126" s="3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</row>
    <row r="1127">
      <c r="A1127" s="21"/>
      <c r="B1127" s="22"/>
      <c r="C1127" s="22"/>
      <c r="D1127" s="22"/>
      <c r="E1127" s="3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</row>
    <row r="1128">
      <c r="A1128" s="21"/>
      <c r="B1128" s="22"/>
      <c r="C1128" s="22"/>
      <c r="D1128" s="22"/>
      <c r="E1128" s="3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</row>
    <row r="1129">
      <c r="A1129" s="21"/>
      <c r="B1129" s="22"/>
      <c r="C1129" s="22"/>
      <c r="D1129" s="22"/>
      <c r="E1129" s="3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</row>
    <row r="1130">
      <c r="A1130" s="21"/>
      <c r="B1130" s="22"/>
      <c r="C1130" s="22"/>
      <c r="D1130" s="22"/>
      <c r="E1130" s="3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</row>
    <row r="1131">
      <c r="A1131" s="21"/>
      <c r="B1131" s="22"/>
      <c r="C1131" s="22"/>
      <c r="D1131" s="22"/>
      <c r="E1131" s="3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</row>
    <row r="1132">
      <c r="A1132" s="21"/>
      <c r="B1132" s="22"/>
      <c r="C1132" s="22"/>
      <c r="D1132" s="22"/>
      <c r="E1132" s="3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</row>
    <row r="1133">
      <c r="A1133" s="21"/>
      <c r="B1133" s="22"/>
      <c r="C1133" s="22"/>
      <c r="D1133" s="22"/>
      <c r="E1133" s="3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</row>
    <row r="1134">
      <c r="A1134" s="21"/>
      <c r="B1134" s="22"/>
      <c r="C1134" s="22"/>
      <c r="D1134" s="22"/>
      <c r="E1134" s="3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</row>
    <row r="1135">
      <c r="A1135" s="21"/>
      <c r="B1135" s="22"/>
      <c r="C1135" s="22"/>
      <c r="D1135" s="22"/>
      <c r="E1135" s="3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</row>
    <row r="1136">
      <c r="A1136" s="21"/>
      <c r="B1136" s="22"/>
      <c r="C1136" s="22"/>
      <c r="D1136" s="22"/>
      <c r="E1136" s="3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</row>
    <row r="1137">
      <c r="A1137" s="21"/>
      <c r="B1137" s="22"/>
      <c r="C1137" s="22"/>
      <c r="D1137" s="22"/>
      <c r="E1137" s="3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</row>
    <row r="1138">
      <c r="A1138" s="21"/>
      <c r="B1138" s="22"/>
      <c r="C1138" s="22"/>
      <c r="D1138" s="22"/>
      <c r="E1138" s="3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</row>
    <row r="1139">
      <c r="A1139" s="21"/>
      <c r="B1139" s="22"/>
      <c r="C1139" s="22"/>
      <c r="D1139" s="22"/>
      <c r="E1139" s="3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</row>
    <row r="1140">
      <c r="A1140" s="21"/>
      <c r="B1140" s="22"/>
      <c r="C1140" s="22"/>
      <c r="D1140" s="22"/>
      <c r="E1140" s="3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</row>
    <row r="1141">
      <c r="A1141" s="21"/>
      <c r="B1141" s="22"/>
      <c r="C1141" s="22"/>
      <c r="D1141" s="22"/>
      <c r="E1141" s="3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</row>
    <row r="1142">
      <c r="A1142" s="21"/>
      <c r="B1142" s="22"/>
      <c r="C1142" s="22"/>
      <c r="D1142" s="22"/>
      <c r="E1142" s="3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</row>
    <row r="1143">
      <c r="A1143" s="21"/>
      <c r="B1143" s="22"/>
      <c r="C1143" s="22"/>
      <c r="D1143" s="22"/>
      <c r="E1143" s="3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</row>
    <row r="1144">
      <c r="A1144" s="21"/>
      <c r="B1144" s="22"/>
      <c r="C1144" s="22"/>
      <c r="D1144" s="22"/>
      <c r="E1144" s="3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</row>
    <row r="1145">
      <c r="A1145" s="21"/>
      <c r="B1145" s="22"/>
      <c r="C1145" s="22"/>
      <c r="D1145" s="22"/>
      <c r="E1145" s="3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</row>
    <row r="1146">
      <c r="A1146" s="21"/>
      <c r="B1146" s="22"/>
      <c r="C1146" s="22"/>
      <c r="D1146" s="22"/>
      <c r="E1146" s="3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</row>
    <row r="1147">
      <c r="A1147" s="21"/>
      <c r="B1147" s="22"/>
      <c r="C1147" s="22"/>
      <c r="D1147" s="22"/>
      <c r="E1147" s="3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</row>
    <row r="1148">
      <c r="A1148" s="21"/>
      <c r="B1148" s="22"/>
      <c r="C1148" s="22"/>
      <c r="D1148" s="22"/>
      <c r="E1148" s="3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</row>
    <row r="1149">
      <c r="A1149" s="21"/>
      <c r="B1149" s="22"/>
      <c r="C1149" s="22"/>
      <c r="D1149" s="22"/>
      <c r="E1149" s="3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</row>
    <row r="1150">
      <c r="A1150" s="21"/>
      <c r="B1150" s="22"/>
      <c r="C1150" s="22"/>
      <c r="D1150" s="22"/>
      <c r="E1150" s="3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</row>
    <row r="1151">
      <c r="A1151" s="21"/>
      <c r="B1151" s="22"/>
      <c r="C1151" s="22"/>
      <c r="D1151" s="22"/>
      <c r="E1151" s="3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</row>
    <row r="1152">
      <c r="A1152" s="21"/>
      <c r="B1152" s="22"/>
      <c r="C1152" s="22"/>
      <c r="D1152" s="22"/>
      <c r="E1152" s="3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</row>
    <row r="1153">
      <c r="A1153" s="21"/>
      <c r="B1153" s="22"/>
      <c r="C1153" s="22"/>
      <c r="D1153" s="22"/>
      <c r="E1153" s="3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</row>
    <row r="1154">
      <c r="A1154" s="21"/>
      <c r="B1154" s="22"/>
      <c r="C1154" s="22"/>
      <c r="D1154" s="22"/>
      <c r="E1154" s="3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</row>
    <row r="1155">
      <c r="A1155" s="21"/>
      <c r="B1155" s="22"/>
      <c r="C1155" s="22"/>
      <c r="D1155" s="22"/>
      <c r="E1155" s="3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</row>
    <row r="1156">
      <c r="A1156" s="21"/>
      <c r="B1156" s="22"/>
      <c r="C1156" s="22"/>
      <c r="D1156" s="22"/>
      <c r="E1156" s="3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</row>
    <row r="1157">
      <c r="A1157" s="21"/>
      <c r="B1157" s="22"/>
      <c r="C1157" s="22"/>
      <c r="D1157" s="22"/>
      <c r="E1157" s="3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</row>
    <row r="1158">
      <c r="A1158" s="21"/>
      <c r="B1158" s="22"/>
      <c r="C1158" s="22"/>
      <c r="D1158" s="22"/>
      <c r="E1158" s="3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</row>
    <row r="1159">
      <c r="A1159" s="21"/>
      <c r="B1159" s="22"/>
      <c r="C1159" s="22"/>
      <c r="D1159" s="22"/>
      <c r="E1159" s="3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</row>
    <row r="1160">
      <c r="A1160" s="21"/>
      <c r="B1160" s="22"/>
      <c r="C1160" s="22"/>
      <c r="D1160" s="22"/>
      <c r="E1160" s="3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</row>
    <row r="1161">
      <c r="A1161" s="21"/>
      <c r="B1161" s="22"/>
      <c r="C1161" s="22"/>
      <c r="D1161" s="22"/>
      <c r="E1161" s="3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</row>
    <row r="1162">
      <c r="A1162" s="21"/>
      <c r="B1162" s="22"/>
      <c r="C1162" s="22"/>
      <c r="D1162" s="22"/>
      <c r="E1162" s="3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</row>
    <row r="1163">
      <c r="A1163" s="21"/>
      <c r="B1163" s="22"/>
      <c r="C1163" s="22"/>
      <c r="D1163" s="22"/>
      <c r="E1163" s="3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</row>
    <row r="1164">
      <c r="A1164" s="21"/>
      <c r="B1164" s="22"/>
      <c r="C1164" s="22"/>
      <c r="D1164" s="22"/>
      <c r="E1164" s="3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</row>
    <row r="1165">
      <c r="A1165" s="21"/>
      <c r="B1165" s="22"/>
      <c r="C1165" s="22"/>
      <c r="D1165" s="22"/>
      <c r="E1165" s="3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</row>
    <row r="1166">
      <c r="A1166" s="21"/>
      <c r="B1166" s="22"/>
      <c r="C1166" s="22"/>
      <c r="D1166" s="22"/>
      <c r="E1166" s="3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</row>
    <row r="1167">
      <c r="A1167" s="21"/>
      <c r="B1167" s="22"/>
      <c r="C1167" s="22"/>
      <c r="D1167" s="22"/>
      <c r="E1167" s="3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</row>
    <row r="1168">
      <c r="A1168" s="21"/>
      <c r="B1168" s="22"/>
      <c r="C1168" s="22"/>
      <c r="D1168" s="22"/>
      <c r="E1168" s="3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</row>
    <row r="1169">
      <c r="A1169" s="21"/>
      <c r="B1169" s="22"/>
      <c r="C1169" s="22"/>
      <c r="D1169" s="22"/>
      <c r="E1169" s="3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</row>
    <row r="1170">
      <c r="A1170" s="21"/>
      <c r="B1170" s="22"/>
      <c r="C1170" s="22"/>
      <c r="D1170" s="22"/>
      <c r="E1170" s="3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</row>
    <row r="1171">
      <c r="A1171" s="21"/>
      <c r="B1171" s="22"/>
      <c r="C1171" s="22"/>
      <c r="D1171" s="22"/>
      <c r="E1171" s="3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</row>
    <row r="1172">
      <c r="A1172" s="21"/>
      <c r="B1172" s="22"/>
      <c r="C1172" s="22"/>
      <c r="D1172" s="22"/>
      <c r="E1172" s="3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</row>
    <row r="1173">
      <c r="A1173" s="21"/>
      <c r="B1173" s="22"/>
      <c r="C1173" s="22"/>
      <c r="D1173" s="22"/>
      <c r="E1173" s="3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</row>
    <row r="1174">
      <c r="A1174" s="21"/>
      <c r="B1174" s="22"/>
      <c r="C1174" s="22"/>
      <c r="D1174" s="22"/>
      <c r="E1174" s="3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</row>
    <row r="1175">
      <c r="A1175" s="21"/>
      <c r="B1175" s="22"/>
      <c r="C1175" s="22"/>
      <c r="D1175" s="22"/>
      <c r="E1175" s="3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</row>
    <row r="1176">
      <c r="A1176" s="21"/>
      <c r="B1176" s="22"/>
      <c r="C1176" s="22"/>
      <c r="D1176" s="22"/>
      <c r="E1176" s="3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</row>
    <row r="1177">
      <c r="A1177" s="21"/>
      <c r="B1177" s="22"/>
      <c r="C1177" s="22"/>
      <c r="D1177" s="22"/>
      <c r="E1177" s="3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</row>
    <row r="1178">
      <c r="A1178" s="21"/>
      <c r="B1178" s="22"/>
      <c r="C1178" s="22"/>
      <c r="D1178" s="22"/>
      <c r="E1178" s="3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</row>
    <row r="1179">
      <c r="A1179" s="21"/>
      <c r="B1179" s="22"/>
      <c r="C1179" s="22"/>
      <c r="D1179" s="22"/>
      <c r="E1179" s="3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</row>
    <row r="1180">
      <c r="A1180" s="21"/>
      <c r="B1180" s="22"/>
      <c r="C1180" s="22"/>
      <c r="D1180" s="22"/>
      <c r="E1180" s="3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</row>
    <row r="1181">
      <c r="A1181" s="21"/>
      <c r="B1181" s="22"/>
      <c r="C1181" s="22"/>
      <c r="D1181" s="22"/>
      <c r="E1181" s="3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</row>
    <row r="1182">
      <c r="A1182" s="21"/>
      <c r="B1182" s="22"/>
      <c r="C1182" s="22"/>
      <c r="D1182" s="22"/>
      <c r="E1182" s="3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</row>
    <row r="1183">
      <c r="A1183" s="21"/>
      <c r="B1183" s="22"/>
      <c r="C1183" s="22"/>
      <c r="D1183" s="22"/>
      <c r="E1183" s="3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</row>
    <row r="1184">
      <c r="A1184" s="21"/>
      <c r="B1184" s="22"/>
      <c r="C1184" s="22"/>
      <c r="D1184" s="22"/>
      <c r="E1184" s="3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</row>
    <row r="1185">
      <c r="A1185" s="21"/>
      <c r="B1185" s="22"/>
      <c r="C1185" s="22"/>
      <c r="D1185" s="22"/>
      <c r="E1185" s="3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</row>
    <row r="1186">
      <c r="A1186" s="21"/>
      <c r="B1186" s="22"/>
      <c r="C1186" s="22"/>
      <c r="D1186" s="22"/>
      <c r="E1186" s="3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</row>
    <row r="1187">
      <c r="A1187" s="21"/>
      <c r="B1187" s="22"/>
      <c r="C1187" s="22"/>
      <c r="D1187" s="22"/>
      <c r="E1187" s="3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</row>
    <row r="1188">
      <c r="A1188" s="21"/>
      <c r="B1188" s="22"/>
      <c r="C1188" s="22"/>
      <c r="D1188" s="22"/>
      <c r="E1188" s="3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</row>
    <row r="1189">
      <c r="A1189" s="21"/>
      <c r="B1189" s="22"/>
      <c r="C1189" s="22"/>
      <c r="D1189" s="22"/>
      <c r="E1189" s="3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</row>
    <row r="1190">
      <c r="A1190" s="21"/>
      <c r="B1190" s="22"/>
      <c r="C1190" s="22"/>
      <c r="D1190" s="22"/>
      <c r="E1190" s="3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</row>
    <row r="1191">
      <c r="A1191" s="21"/>
      <c r="B1191" s="22"/>
      <c r="C1191" s="22"/>
      <c r="D1191" s="22"/>
      <c r="E1191" s="3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</row>
    <row r="1192">
      <c r="A1192" s="21"/>
      <c r="B1192" s="22"/>
      <c r="C1192" s="22"/>
      <c r="D1192" s="22"/>
      <c r="E1192" s="3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</row>
    <row r="1193">
      <c r="A1193" s="21"/>
      <c r="B1193" s="22"/>
      <c r="C1193" s="22"/>
      <c r="D1193" s="22"/>
      <c r="E1193" s="3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</row>
    <row r="1194">
      <c r="A1194" s="21"/>
      <c r="B1194" s="22"/>
      <c r="C1194" s="22"/>
      <c r="D1194" s="22"/>
      <c r="E1194" s="3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</row>
    <row r="1195">
      <c r="A1195" s="21"/>
      <c r="B1195" s="22"/>
      <c r="C1195" s="22"/>
      <c r="D1195" s="22"/>
      <c r="E1195" s="3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</row>
    <row r="1196">
      <c r="A1196" s="21"/>
      <c r="B1196" s="22"/>
      <c r="C1196" s="22"/>
      <c r="D1196" s="22"/>
      <c r="E1196" s="3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</row>
    <row r="1197">
      <c r="A1197" s="21"/>
      <c r="B1197" s="22"/>
      <c r="C1197" s="22"/>
      <c r="D1197" s="22"/>
      <c r="E1197" s="3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</row>
    <row r="1198">
      <c r="A1198" s="21"/>
      <c r="B1198" s="22"/>
      <c r="C1198" s="22"/>
      <c r="D1198" s="22"/>
      <c r="E1198" s="3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</row>
    <row r="1199">
      <c r="A1199" s="21"/>
      <c r="B1199" s="22"/>
      <c r="C1199" s="22"/>
      <c r="D1199" s="22"/>
      <c r="E1199" s="3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</row>
    <row r="1200">
      <c r="A1200" s="21"/>
      <c r="B1200" s="22"/>
      <c r="C1200" s="22"/>
      <c r="D1200" s="22"/>
      <c r="E1200" s="3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</row>
    <row r="1201">
      <c r="A1201" s="21"/>
      <c r="B1201" s="22"/>
      <c r="C1201" s="22"/>
      <c r="D1201" s="22"/>
      <c r="E1201" s="3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</row>
    <row r="1202">
      <c r="A1202" s="21"/>
      <c r="B1202" s="22"/>
      <c r="C1202" s="22"/>
      <c r="D1202" s="22"/>
      <c r="E1202" s="3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</row>
    <row r="1203">
      <c r="A1203" s="21"/>
      <c r="B1203" s="22"/>
      <c r="C1203" s="22"/>
      <c r="D1203" s="22"/>
      <c r="E1203" s="3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</row>
    <row r="1204">
      <c r="A1204" s="21"/>
      <c r="B1204" s="22"/>
      <c r="C1204" s="22"/>
      <c r="D1204" s="22"/>
      <c r="E1204" s="3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</row>
    <row r="1205">
      <c r="A1205" s="21"/>
      <c r="B1205" s="22"/>
      <c r="C1205" s="22"/>
      <c r="D1205" s="22"/>
      <c r="E1205" s="3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</row>
    <row r="1206">
      <c r="A1206" s="21"/>
      <c r="B1206" s="22"/>
      <c r="C1206" s="22"/>
      <c r="D1206" s="22"/>
      <c r="E1206" s="3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</row>
    <row r="1207">
      <c r="A1207" s="21"/>
      <c r="B1207" s="22"/>
      <c r="C1207" s="22"/>
      <c r="D1207" s="22"/>
      <c r="E1207" s="3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</row>
    <row r="1208">
      <c r="A1208" s="21"/>
      <c r="B1208" s="22"/>
      <c r="C1208" s="22"/>
      <c r="D1208" s="22"/>
      <c r="E1208" s="3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</row>
    <row r="1209">
      <c r="A1209" s="21"/>
      <c r="B1209" s="22"/>
      <c r="C1209" s="22"/>
      <c r="D1209" s="22"/>
      <c r="E1209" s="3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</row>
    <row r="1210">
      <c r="A1210" s="21"/>
      <c r="B1210" s="22"/>
      <c r="C1210" s="22"/>
      <c r="D1210" s="22"/>
      <c r="E1210" s="3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</row>
    <row r="1211">
      <c r="A1211" s="21"/>
      <c r="B1211" s="22"/>
      <c r="C1211" s="22"/>
      <c r="D1211" s="22"/>
      <c r="E1211" s="3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</row>
    <row r="1212">
      <c r="A1212" s="21"/>
      <c r="B1212" s="22"/>
      <c r="C1212" s="22"/>
      <c r="D1212" s="22"/>
      <c r="E1212" s="3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</row>
    <row r="1213">
      <c r="A1213" s="21"/>
      <c r="B1213" s="22"/>
      <c r="C1213" s="22"/>
      <c r="D1213" s="22"/>
      <c r="E1213" s="3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</row>
    <row r="1214">
      <c r="A1214" s="21"/>
      <c r="B1214" s="22"/>
      <c r="C1214" s="22"/>
      <c r="D1214" s="22"/>
      <c r="E1214" s="3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</row>
    <row r="1215">
      <c r="A1215" s="21"/>
      <c r="B1215" s="22"/>
      <c r="C1215" s="22"/>
      <c r="D1215" s="22"/>
      <c r="E1215" s="3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</row>
    <row r="1216">
      <c r="A1216" s="21"/>
      <c r="B1216" s="22"/>
      <c r="C1216" s="22"/>
      <c r="D1216" s="22"/>
      <c r="E1216" s="3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</row>
    <row r="1217">
      <c r="A1217" s="21"/>
      <c r="B1217" s="22"/>
      <c r="C1217" s="22"/>
      <c r="D1217" s="22"/>
      <c r="E1217" s="3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</row>
    <row r="1218">
      <c r="A1218" s="21"/>
      <c r="B1218" s="22"/>
      <c r="C1218" s="22"/>
      <c r="D1218" s="22"/>
      <c r="E1218" s="3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</row>
    <row r="1219">
      <c r="A1219" s="21"/>
      <c r="B1219" s="22"/>
      <c r="C1219" s="22"/>
      <c r="D1219" s="22"/>
      <c r="E1219" s="3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</row>
    <row r="1220">
      <c r="A1220" s="21"/>
      <c r="B1220" s="22"/>
      <c r="C1220" s="22"/>
      <c r="D1220" s="22"/>
      <c r="E1220" s="3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</row>
    <row r="1221">
      <c r="A1221" s="21"/>
      <c r="B1221" s="22"/>
      <c r="C1221" s="22"/>
      <c r="D1221" s="22"/>
      <c r="E1221" s="3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</row>
    <row r="1222">
      <c r="A1222" s="21"/>
      <c r="B1222" s="22"/>
      <c r="C1222" s="22"/>
      <c r="D1222" s="22"/>
      <c r="E1222" s="3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</row>
    <row r="1223">
      <c r="A1223" s="21"/>
      <c r="B1223" s="22"/>
      <c r="C1223" s="22"/>
      <c r="D1223" s="22"/>
      <c r="E1223" s="3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</row>
    <row r="1224">
      <c r="A1224" s="21"/>
      <c r="B1224" s="22"/>
      <c r="C1224" s="22"/>
      <c r="D1224" s="22"/>
      <c r="E1224" s="3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</row>
    <row r="1225">
      <c r="A1225" s="21"/>
      <c r="B1225" s="22"/>
      <c r="C1225" s="22"/>
      <c r="D1225" s="22"/>
      <c r="E1225" s="3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</row>
    <row r="1226">
      <c r="A1226" s="21"/>
      <c r="B1226" s="22"/>
      <c r="C1226" s="22"/>
      <c r="D1226" s="22"/>
      <c r="E1226" s="3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</row>
    <row r="1227">
      <c r="A1227" s="21"/>
      <c r="B1227" s="22"/>
      <c r="C1227" s="22"/>
      <c r="D1227" s="22"/>
      <c r="E1227" s="3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</row>
    <row r="1228">
      <c r="A1228" s="21"/>
      <c r="B1228" s="22"/>
      <c r="C1228" s="22"/>
      <c r="D1228" s="22"/>
      <c r="E1228" s="3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</row>
    <row r="1229">
      <c r="A1229" s="21"/>
      <c r="B1229" s="22"/>
      <c r="C1229" s="22"/>
      <c r="D1229" s="22"/>
      <c r="E1229" s="3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</row>
    <row r="1230">
      <c r="A1230" s="21"/>
      <c r="B1230" s="22"/>
      <c r="C1230" s="22"/>
      <c r="D1230" s="22"/>
      <c r="E1230" s="3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</row>
    <row r="1231">
      <c r="A1231" s="21"/>
      <c r="B1231" s="22"/>
      <c r="C1231" s="22"/>
      <c r="D1231" s="22"/>
      <c r="E1231" s="3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</row>
    <row r="1232">
      <c r="A1232" s="21"/>
      <c r="B1232" s="22"/>
      <c r="C1232" s="22"/>
      <c r="D1232" s="22"/>
      <c r="E1232" s="3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</row>
    <row r="1233">
      <c r="A1233" s="21"/>
      <c r="B1233" s="22"/>
      <c r="C1233" s="22"/>
      <c r="D1233" s="22"/>
      <c r="E1233" s="3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</row>
    <row r="1234">
      <c r="A1234" s="21"/>
      <c r="B1234" s="22"/>
      <c r="C1234" s="22"/>
      <c r="D1234" s="22"/>
      <c r="E1234" s="3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</row>
    <row r="1235">
      <c r="A1235" s="21"/>
      <c r="B1235" s="22"/>
      <c r="C1235" s="22"/>
      <c r="D1235" s="22"/>
      <c r="E1235" s="3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</row>
    <row r="1236">
      <c r="A1236" s="21"/>
      <c r="B1236" s="22"/>
      <c r="C1236" s="22"/>
      <c r="D1236" s="22"/>
      <c r="E1236" s="3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</row>
    <row r="1237">
      <c r="A1237" s="21"/>
      <c r="B1237" s="22"/>
      <c r="C1237" s="22"/>
      <c r="D1237" s="22"/>
      <c r="E1237" s="3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</row>
    <row r="1238">
      <c r="A1238" s="21"/>
      <c r="B1238" s="22"/>
      <c r="C1238" s="22"/>
      <c r="D1238" s="22"/>
      <c r="E1238" s="3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</row>
    <row r="1239">
      <c r="A1239" s="21"/>
      <c r="B1239" s="22"/>
      <c r="C1239" s="22"/>
      <c r="D1239" s="22"/>
      <c r="E1239" s="3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</row>
    <row r="1240">
      <c r="A1240" s="21"/>
      <c r="B1240" s="22"/>
      <c r="C1240" s="22"/>
      <c r="D1240" s="22"/>
      <c r="E1240" s="3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</row>
    <row r="1241">
      <c r="A1241" s="21"/>
      <c r="B1241" s="22"/>
      <c r="C1241" s="22"/>
      <c r="D1241" s="22"/>
      <c r="E1241" s="3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</row>
    <row r="1242">
      <c r="A1242" s="21"/>
      <c r="B1242" s="22"/>
      <c r="C1242" s="22"/>
      <c r="D1242" s="22"/>
      <c r="E1242" s="3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</row>
    <row r="1243">
      <c r="A1243" s="21"/>
      <c r="B1243" s="22"/>
      <c r="C1243" s="22"/>
      <c r="D1243" s="22"/>
      <c r="E1243" s="3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</row>
    <row r="1244">
      <c r="A1244" s="21"/>
      <c r="B1244" s="22"/>
      <c r="C1244" s="22"/>
      <c r="D1244" s="22"/>
      <c r="E1244" s="3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</row>
    <row r="1245">
      <c r="A1245" s="21"/>
      <c r="B1245" s="22"/>
      <c r="C1245" s="22"/>
      <c r="D1245" s="22"/>
      <c r="E1245" s="3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</row>
    <row r="1246">
      <c r="A1246" s="21"/>
      <c r="B1246" s="22"/>
      <c r="C1246" s="22"/>
      <c r="D1246" s="22"/>
      <c r="E1246" s="3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</row>
    <row r="1247">
      <c r="A1247" s="21"/>
      <c r="B1247" s="22"/>
      <c r="C1247" s="22"/>
      <c r="D1247" s="22"/>
      <c r="E1247" s="3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</row>
    <row r="1248">
      <c r="A1248" s="21"/>
      <c r="B1248" s="22"/>
      <c r="C1248" s="22"/>
      <c r="D1248" s="22"/>
      <c r="E1248" s="3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</row>
    <row r="1249">
      <c r="A1249" s="21"/>
      <c r="B1249" s="22"/>
      <c r="C1249" s="22"/>
      <c r="D1249" s="22"/>
      <c r="E1249" s="3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</row>
    <row r="1250">
      <c r="A1250" s="21"/>
      <c r="B1250" s="22"/>
      <c r="C1250" s="22"/>
      <c r="D1250" s="22"/>
      <c r="E1250" s="3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</row>
    <row r="1251">
      <c r="A1251" s="21"/>
      <c r="B1251" s="22"/>
      <c r="C1251" s="22"/>
      <c r="D1251" s="22"/>
      <c r="E1251" s="3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</row>
    <row r="1252">
      <c r="A1252" s="21"/>
      <c r="B1252" s="22"/>
      <c r="C1252" s="22"/>
      <c r="D1252" s="22"/>
      <c r="E1252" s="3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</row>
    <row r="1253">
      <c r="A1253" s="21"/>
      <c r="B1253" s="22"/>
      <c r="C1253" s="22"/>
      <c r="D1253" s="22"/>
      <c r="E1253" s="3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</row>
    <row r="1254">
      <c r="A1254" s="21"/>
      <c r="B1254" s="22"/>
      <c r="C1254" s="22"/>
      <c r="D1254" s="22"/>
      <c r="E1254" s="3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</row>
    <row r="1255">
      <c r="A1255" s="37"/>
      <c r="B1255" s="22"/>
      <c r="C1255" s="22"/>
      <c r="D1255" s="22"/>
      <c r="E1255" s="3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</row>
  </sheetData>
  <autoFilter ref="$A$6:$D$301"/>
  <mergeCells count="1">
    <mergeCell ref="G212:J216"/>
  </mergeCells>
  <dataValidations>
    <dataValidation type="list" allowBlank="1" showErrorMessage="1" sqref="B7 B9:B170 B173:B301">
      <formula1>"El Mercedino,Frigorífico 90,Huevos,Discomar,Los gringos,Papas,Atún,Marcos,San Francisco,Papelera Ro,Sueldos tarde,Sueldos noche,Papelera,Unifrío,Pepsi,Chavela,Mariana,Mateo,Star,Rincón vegetariano,DEM,La Paulina,Malena,Lg,Papelera Juanchi,tpg,Aceite,María"&amp;" Botto,Otros,Latinoamérica,Ciageser,Bastoni,Helados,Malfatti,Barritas,Papelera atlántica,Vanesa budines,Miel Paula,Alfajores de maicena,Sarah"</formula1>
    </dataValidation>
    <dataValidation type="list" allowBlank="1" showErrorMessage="1" sqref="B8">
      <formula1>"El Mercedino,Frigorífico 90,Huevos,Discomar,Los gringos,Papas,Marepronto,Marcos,San Francisco,Papelera Ro,Sueldos"</formula1>
    </dataValidation>
    <dataValidation type="list" allowBlank="1" showErrorMessage="1" sqref="E7:E301">
      <formula1>"Efectivo,Transferencia,Tarjeta,Bacha"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5.25"/>
    <col customWidth="1" min="3" max="3" width="18.25"/>
    <col customWidth="1" min="4" max="4" width="23.88"/>
    <col customWidth="1" min="5" max="5" width="19.25"/>
  </cols>
  <sheetData>
    <row r="1">
      <c r="A1" s="58" t="s">
        <v>1</v>
      </c>
      <c r="B1" s="59" t="s">
        <v>21</v>
      </c>
      <c r="C1" s="60" t="s">
        <v>22</v>
      </c>
      <c r="D1" s="59" t="s">
        <v>23</v>
      </c>
      <c r="E1" s="61" t="s">
        <v>24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ht="31.5" customHeight="1">
      <c r="A2" s="63">
        <v>45659.0</v>
      </c>
      <c r="B2" s="64" t="s">
        <v>25</v>
      </c>
      <c r="C2" s="65">
        <v>670.0</v>
      </c>
      <c r="D2" s="66">
        <v>153348.0</v>
      </c>
      <c r="E2" s="67" t="s">
        <v>27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ht="31.5" customHeight="1">
      <c r="A3" s="63">
        <v>45659.0</v>
      </c>
      <c r="B3" s="64" t="s">
        <v>28</v>
      </c>
      <c r="C3" s="65" t="s">
        <v>29</v>
      </c>
      <c r="D3" s="66">
        <f>119277+414874.01</f>
        <v>534151.01</v>
      </c>
      <c r="E3" s="67" t="s">
        <v>27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ht="31.5" customHeight="1">
      <c r="A4" s="63">
        <v>45659.0</v>
      </c>
      <c r="B4" s="64" t="s">
        <v>30</v>
      </c>
      <c r="C4" s="65"/>
      <c r="D4" s="66">
        <v>500000.0</v>
      </c>
      <c r="E4" s="67" t="s">
        <v>3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ht="31.5" customHeight="1">
      <c r="A5" s="63">
        <v>45659.0</v>
      </c>
      <c r="B5" s="64" t="s">
        <v>31</v>
      </c>
      <c r="C5" s="65">
        <v>86.0</v>
      </c>
      <c r="D5" s="66">
        <v>26000.0</v>
      </c>
      <c r="E5" s="67" t="s">
        <v>3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ht="31.5" customHeight="1">
      <c r="A6" s="63">
        <v>45659.0</v>
      </c>
      <c r="B6" s="64" t="s">
        <v>33</v>
      </c>
      <c r="C6" s="65">
        <v>687.0</v>
      </c>
      <c r="D6" s="66">
        <v>275829.62</v>
      </c>
      <c r="E6" s="67" t="s">
        <v>27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ht="31.5" customHeight="1">
      <c r="A7" s="63">
        <v>45659.0</v>
      </c>
      <c r="B7" s="64" t="s">
        <v>35</v>
      </c>
      <c r="C7" s="65" t="s">
        <v>36</v>
      </c>
      <c r="D7" s="66">
        <v>18650.0</v>
      </c>
      <c r="E7" s="67" t="s">
        <v>3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ht="31.5" customHeight="1">
      <c r="A8" s="63">
        <v>45659.0</v>
      </c>
      <c r="B8" s="64" t="s">
        <v>37</v>
      </c>
      <c r="C8" s="65"/>
      <c r="D8" s="66">
        <v>145700.0</v>
      </c>
      <c r="E8" s="67" t="s">
        <v>3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31.5" customHeight="1">
      <c r="A9" s="63">
        <v>45659.0</v>
      </c>
      <c r="B9" s="64" t="s">
        <v>38</v>
      </c>
      <c r="C9" s="65"/>
      <c r="D9" s="66">
        <v>51500.0</v>
      </c>
      <c r="E9" s="67" t="s">
        <v>3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31.5" customHeight="1">
      <c r="A10" s="63">
        <v>45660.0</v>
      </c>
      <c r="B10" s="64" t="s">
        <v>28</v>
      </c>
      <c r="C10" s="65">
        <v>88.0</v>
      </c>
      <c r="D10" s="66">
        <v>544503.99</v>
      </c>
      <c r="E10" s="67" t="s">
        <v>27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31.5" customHeight="1">
      <c r="A11" s="63">
        <v>45660.0</v>
      </c>
      <c r="B11" s="64" t="s">
        <v>40</v>
      </c>
      <c r="C11" s="65">
        <v>479.0</v>
      </c>
      <c r="D11" s="66">
        <v>326178.9</v>
      </c>
      <c r="E11" s="67" t="s">
        <v>27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31.5" customHeight="1">
      <c r="A12" s="63">
        <v>45660.0</v>
      </c>
      <c r="B12" s="64" t="s">
        <v>42</v>
      </c>
      <c r="C12" s="65">
        <v>598.0</v>
      </c>
      <c r="D12" s="66">
        <v>143040.0</v>
      </c>
      <c r="E12" s="67" t="s">
        <v>3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31.5" customHeight="1">
      <c r="A13" s="63">
        <v>45660.0</v>
      </c>
      <c r="B13" s="64" t="s">
        <v>31</v>
      </c>
      <c r="C13" s="65">
        <v>97.0</v>
      </c>
      <c r="D13" s="66">
        <v>26000.0</v>
      </c>
      <c r="E13" s="67" t="s">
        <v>3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31.5" customHeight="1">
      <c r="A14" s="63">
        <v>45660.0</v>
      </c>
      <c r="B14" s="64" t="s">
        <v>35</v>
      </c>
      <c r="C14" s="65" t="s">
        <v>45</v>
      </c>
      <c r="D14" s="66">
        <v>3200.0</v>
      </c>
      <c r="E14" s="67" t="s">
        <v>3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31.5" customHeight="1">
      <c r="A15" s="63">
        <v>45660.0</v>
      </c>
      <c r="B15" s="64" t="s">
        <v>35</v>
      </c>
      <c r="C15" s="65" t="s">
        <v>46</v>
      </c>
      <c r="D15" s="66">
        <v>10400.0</v>
      </c>
      <c r="E15" s="67" t="s">
        <v>3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31.5" customHeight="1">
      <c r="A16" s="63">
        <v>45660.0</v>
      </c>
      <c r="B16" s="64" t="s">
        <v>47</v>
      </c>
      <c r="C16" s="65"/>
      <c r="D16" s="66">
        <v>100000.0</v>
      </c>
      <c r="E16" s="67" t="s">
        <v>3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31.5" customHeight="1">
      <c r="A17" s="63">
        <v>45660.0</v>
      </c>
      <c r="B17" s="64" t="s">
        <v>48</v>
      </c>
      <c r="C17" s="65">
        <v>206.0</v>
      </c>
      <c r="D17" s="66">
        <v>256000.0</v>
      </c>
      <c r="E17" s="67" t="s">
        <v>3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31.5" customHeight="1">
      <c r="A18" s="63">
        <v>45660.0</v>
      </c>
      <c r="B18" s="64" t="s">
        <v>50</v>
      </c>
      <c r="C18" s="65">
        <v>17.0</v>
      </c>
      <c r="D18" s="66">
        <v>60600.0</v>
      </c>
      <c r="E18" s="67" t="s">
        <v>3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ht="31.5" customHeight="1">
      <c r="A19" s="63">
        <v>45660.0</v>
      </c>
      <c r="B19" s="64" t="s">
        <v>52</v>
      </c>
      <c r="C19" s="65"/>
      <c r="D19" s="66">
        <v>43000.0</v>
      </c>
      <c r="E19" s="67" t="s">
        <v>3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ht="31.5" customHeight="1">
      <c r="A20" s="63">
        <v>45660.0</v>
      </c>
      <c r="B20" s="64" t="s">
        <v>37</v>
      </c>
      <c r="C20" s="65"/>
      <c r="D20" s="66">
        <v>368800.0</v>
      </c>
      <c r="E20" s="67" t="s">
        <v>3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ht="31.5" customHeight="1">
      <c r="A21" s="63">
        <v>45660.0</v>
      </c>
      <c r="B21" s="64" t="s">
        <v>38</v>
      </c>
      <c r="C21" s="65"/>
      <c r="D21" s="66">
        <v>156300.0</v>
      </c>
      <c r="E21" s="67" t="s">
        <v>3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ht="31.5" customHeight="1">
      <c r="A22" s="63">
        <v>45661.0</v>
      </c>
      <c r="B22" s="64" t="s">
        <v>48</v>
      </c>
      <c r="C22" s="65">
        <v>312.0</v>
      </c>
      <c r="D22" s="66">
        <v>252000.0</v>
      </c>
      <c r="E22" s="67" t="s">
        <v>3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ht="31.5" customHeight="1">
      <c r="A23" s="63">
        <v>45661.0</v>
      </c>
      <c r="B23" s="64" t="s">
        <v>28</v>
      </c>
      <c r="C23" s="65">
        <v>108.0</v>
      </c>
      <c r="D23" s="66">
        <v>178147.0</v>
      </c>
      <c r="E23" s="67" t="s">
        <v>27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ht="31.5" customHeight="1">
      <c r="A24" s="63">
        <v>45661.0</v>
      </c>
      <c r="B24" s="64" t="s">
        <v>55</v>
      </c>
      <c r="C24" s="65">
        <v>925.0</v>
      </c>
      <c r="D24" s="66"/>
      <c r="E24" s="67" t="s">
        <v>3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ht="31.5" customHeight="1">
      <c r="A25" s="63">
        <v>45661.0</v>
      </c>
      <c r="B25" s="64" t="s">
        <v>25</v>
      </c>
      <c r="C25" s="65">
        <v>825.0</v>
      </c>
      <c r="D25" s="66"/>
      <c r="E25" s="67" t="s">
        <v>27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ht="31.5" customHeight="1">
      <c r="A26" s="63">
        <v>45661.0</v>
      </c>
      <c r="B26" s="64" t="s">
        <v>33</v>
      </c>
      <c r="C26" s="65">
        <v>865.0</v>
      </c>
      <c r="D26" s="66"/>
      <c r="E26" s="67" t="s">
        <v>27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ht="31.5" customHeight="1">
      <c r="A27" s="63">
        <v>45661.0</v>
      </c>
      <c r="B27" s="64" t="s">
        <v>59</v>
      </c>
      <c r="C27" s="65">
        <v>14.0</v>
      </c>
      <c r="D27" s="66"/>
      <c r="E27" s="67" t="s">
        <v>3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ht="31.5" customHeight="1">
      <c r="A28" s="63">
        <v>45661.0</v>
      </c>
      <c r="B28" s="64" t="s">
        <v>35</v>
      </c>
      <c r="C28" s="65" t="s">
        <v>61</v>
      </c>
      <c r="D28" s="66">
        <v>36000.0</v>
      </c>
      <c r="E28" s="67" t="s">
        <v>3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ht="31.5" customHeight="1">
      <c r="A29" s="63">
        <v>45661.0</v>
      </c>
      <c r="B29" s="64" t="s">
        <v>37</v>
      </c>
      <c r="C29" s="65"/>
      <c r="D29" s="66">
        <v>260700.0</v>
      </c>
      <c r="E29" s="67" t="s">
        <v>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ht="31.5" customHeight="1">
      <c r="A30" s="63">
        <v>45661.0</v>
      </c>
      <c r="B30" s="64" t="s">
        <v>62</v>
      </c>
      <c r="C30" s="65"/>
      <c r="D30" s="66">
        <v>40500.0</v>
      </c>
      <c r="E30" s="67" t="s">
        <v>3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ht="31.5" customHeight="1">
      <c r="A31" s="63">
        <v>45661.0</v>
      </c>
      <c r="B31" s="64" t="s">
        <v>37</v>
      </c>
      <c r="C31" s="65"/>
      <c r="D31" s="66">
        <v>260700.0</v>
      </c>
      <c r="E31" s="67" t="s">
        <v>3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ht="31.5" customHeight="1">
      <c r="A32" s="63">
        <v>45663.0</v>
      </c>
      <c r="B32" s="64" t="s">
        <v>40</v>
      </c>
      <c r="C32" s="65">
        <v>515.0</v>
      </c>
      <c r="D32" s="66">
        <v>313201.0</v>
      </c>
      <c r="E32" s="67" t="s">
        <v>27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ht="31.5" customHeight="1">
      <c r="A33" s="63">
        <v>45663.0</v>
      </c>
      <c r="B33" s="64" t="s">
        <v>47</v>
      </c>
      <c r="C33" s="65"/>
      <c r="D33" s="66">
        <v>76000.0</v>
      </c>
      <c r="E33" s="67" t="s">
        <v>3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ht="31.5" customHeight="1">
      <c r="A34" s="63">
        <v>45663.0</v>
      </c>
      <c r="B34" s="64" t="s">
        <v>28</v>
      </c>
      <c r="C34" s="65">
        <v>139.0</v>
      </c>
      <c r="D34" s="66">
        <v>295742.01</v>
      </c>
      <c r="E34" s="67" t="s">
        <v>27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ht="31.5" customHeight="1">
      <c r="A35" s="63">
        <v>45663.0</v>
      </c>
      <c r="B35" s="64" t="s">
        <v>50</v>
      </c>
      <c r="C35" s="65">
        <v>193.0</v>
      </c>
      <c r="D35" s="66">
        <v>60600.0</v>
      </c>
      <c r="E35" s="67" t="s">
        <v>3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ht="31.5" customHeight="1">
      <c r="A36" s="63">
        <v>45663.0</v>
      </c>
      <c r="B36" s="64" t="s">
        <v>59</v>
      </c>
      <c r="C36" s="65">
        <v>274.0</v>
      </c>
      <c r="D36" s="66">
        <v>69150.0</v>
      </c>
      <c r="E36" s="67" t="s">
        <v>3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ht="31.5" customHeight="1">
      <c r="A37" s="63">
        <v>45663.0</v>
      </c>
      <c r="B37" s="64" t="s">
        <v>31</v>
      </c>
      <c r="C37" s="65">
        <v>957.0</v>
      </c>
      <c r="D37" s="66">
        <v>26000.0</v>
      </c>
      <c r="E37" s="67" t="s">
        <v>3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ht="31.5" customHeight="1">
      <c r="A38" s="63">
        <v>45663.0</v>
      </c>
      <c r="B38" s="64" t="s">
        <v>30</v>
      </c>
      <c r="C38" s="65"/>
      <c r="D38" s="66">
        <v>384000.0</v>
      </c>
      <c r="E38" s="67" t="s">
        <v>3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ht="31.5" customHeight="1">
      <c r="A39" s="63">
        <v>45663.0</v>
      </c>
      <c r="B39" s="64" t="s">
        <v>68</v>
      </c>
      <c r="C39" s="65">
        <v>119.0</v>
      </c>
      <c r="D39" s="66">
        <v>43450.0</v>
      </c>
      <c r="E39" s="67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ht="31.5" customHeight="1">
      <c r="A40" s="63">
        <v>45663.0</v>
      </c>
      <c r="B40" s="64" t="s">
        <v>28</v>
      </c>
      <c r="C40" s="65">
        <v>149.0</v>
      </c>
      <c r="D40" s="66">
        <v>233565.99</v>
      </c>
      <c r="E40" s="67" t="s">
        <v>27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ht="31.5" customHeight="1">
      <c r="A41" s="63">
        <v>45663.0</v>
      </c>
      <c r="B41" s="64" t="s">
        <v>71</v>
      </c>
      <c r="C41" s="65"/>
      <c r="D41" s="66">
        <v>17300.0</v>
      </c>
      <c r="E41" s="67" t="s">
        <v>3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ht="31.5" customHeight="1">
      <c r="A42" s="63">
        <v>45663.0</v>
      </c>
      <c r="B42" s="64" t="s">
        <v>37</v>
      </c>
      <c r="C42" s="65"/>
      <c r="D42" s="66">
        <v>118600.0</v>
      </c>
      <c r="E42" s="67" t="s">
        <v>3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ht="31.5" customHeight="1">
      <c r="A43" s="63">
        <v>45663.0</v>
      </c>
      <c r="B43" s="64" t="s">
        <v>38</v>
      </c>
      <c r="C43" s="65"/>
      <c r="D43" s="66">
        <v>84960.0</v>
      </c>
      <c r="E43" s="67" t="s">
        <v>3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ht="31.5" customHeight="1">
      <c r="A44" s="63">
        <v>45664.0</v>
      </c>
      <c r="B44" s="64" t="s">
        <v>31</v>
      </c>
      <c r="C44" s="65">
        <v>172.0</v>
      </c>
      <c r="D44" s="66">
        <v>26000.0</v>
      </c>
      <c r="E44" s="67" t="s">
        <v>3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ht="31.5" customHeight="1">
      <c r="A45" s="63">
        <v>45664.0</v>
      </c>
      <c r="B45" s="64" t="s">
        <v>73</v>
      </c>
      <c r="C45" s="65" t="s">
        <v>74</v>
      </c>
      <c r="D45" s="66">
        <v>42000.0</v>
      </c>
      <c r="E45" s="67" t="s">
        <v>3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ht="31.5" customHeight="1">
      <c r="A46" s="63">
        <v>45664.0</v>
      </c>
      <c r="B46" s="64" t="s">
        <v>35</v>
      </c>
      <c r="C46" s="65" t="s">
        <v>75</v>
      </c>
      <c r="D46" s="66">
        <v>8580.0</v>
      </c>
      <c r="E46" s="67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ht="31.5" customHeight="1">
      <c r="A47" s="63">
        <v>45664.0</v>
      </c>
      <c r="B47" s="64" t="s">
        <v>59</v>
      </c>
      <c r="C47" s="65">
        <v>334.0</v>
      </c>
      <c r="D47" s="66">
        <v>134000.0</v>
      </c>
      <c r="E47" s="67" t="s">
        <v>3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ht="31.5" customHeight="1">
      <c r="A48" s="63">
        <v>45664.0</v>
      </c>
      <c r="B48" s="64" t="s">
        <v>48</v>
      </c>
      <c r="C48" s="65">
        <v>219.0</v>
      </c>
      <c r="D48" s="66">
        <v>152000.0</v>
      </c>
      <c r="E48" s="67" t="s">
        <v>3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ht="31.5" customHeight="1">
      <c r="A49" s="63">
        <v>45664.0</v>
      </c>
      <c r="B49" s="64" t="s">
        <v>78</v>
      </c>
      <c r="C49" s="65"/>
      <c r="D49" s="66">
        <v>13000.0</v>
      </c>
      <c r="E49" s="67" t="s">
        <v>3</v>
      </c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ht="31.5" customHeight="1">
      <c r="A50" s="63">
        <v>45664.0</v>
      </c>
      <c r="B50" s="64" t="s">
        <v>25</v>
      </c>
      <c r="C50" s="65">
        <v>560.0</v>
      </c>
      <c r="D50" s="66">
        <v>152128.0</v>
      </c>
      <c r="E50" s="67" t="s">
        <v>27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ht="31.5" customHeight="1">
      <c r="A51" s="63">
        <v>45664.0</v>
      </c>
      <c r="B51" s="64" t="s">
        <v>80</v>
      </c>
      <c r="C51" s="65">
        <v>351.0</v>
      </c>
      <c r="D51" s="66">
        <v>102000.0</v>
      </c>
      <c r="E51" s="67" t="s">
        <v>3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ht="31.5" customHeight="1">
      <c r="A52" s="63">
        <v>45664.0</v>
      </c>
      <c r="B52" s="64" t="s">
        <v>82</v>
      </c>
      <c r="C52" s="65">
        <v>37.0</v>
      </c>
      <c r="D52" s="66">
        <v>118590.0</v>
      </c>
      <c r="E52" s="67" t="s">
        <v>3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ht="31.5" customHeight="1">
      <c r="A53" s="63">
        <v>45664.0</v>
      </c>
      <c r="B53" s="64" t="s">
        <v>37</v>
      </c>
      <c r="C53" s="65"/>
      <c r="D53" s="66">
        <v>134800.0</v>
      </c>
      <c r="E53" s="67" t="s">
        <v>3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ht="31.5" customHeight="1">
      <c r="A54" s="63">
        <v>45664.0</v>
      </c>
      <c r="B54" s="64" t="s">
        <v>38</v>
      </c>
      <c r="C54" s="65"/>
      <c r="D54" s="66">
        <v>75000.0</v>
      </c>
      <c r="E54" s="67" t="s">
        <v>3</v>
      </c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ht="31.5" customHeight="1">
      <c r="A55" s="63">
        <v>45665.0</v>
      </c>
      <c r="B55" s="64" t="s">
        <v>31</v>
      </c>
      <c r="C55" s="65">
        <v>183.0</v>
      </c>
      <c r="D55" s="66">
        <v>26000.0</v>
      </c>
      <c r="E55" s="67" t="s">
        <v>3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ht="31.5" customHeight="1">
      <c r="A56" s="63">
        <v>45665.0</v>
      </c>
      <c r="B56" s="64" t="s">
        <v>25</v>
      </c>
      <c r="C56" s="65">
        <v>768.0</v>
      </c>
      <c r="D56" s="66">
        <v>296641.0</v>
      </c>
      <c r="E56" s="67" t="s">
        <v>27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ht="31.5" customHeight="1">
      <c r="A57" s="63">
        <v>45665.0</v>
      </c>
      <c r="B57" s="64" t="s">
        <v>50</v>
      </c>
      <c r="C57" s="65">
        <v>407.0</v>
      </c>
      <c r="D57" s="66">
        <v>60600.0</v>
      </c>
      <c r="E57" s="67" t="s">
        <v>3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ht="31.5" customHeight="1">
      <c r="A58" s="63">
        <v>45665.0</v>
      </c>
      <c r="B58" s="64" t="s">
        <v>47</v>
      </c>
      <c r="C58" s="65"/>
      <c r="D58" s="66">
        <v>58000.0</v>
      </c>
      <c r="E58" s="67" t="s">
        <v>3</v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ht="31.5" customHeight="1">
      <c r="A59" s="63">
        <v>45665.0</v>
      </c>
      <c r="B59" s="64" t="s">
        <v>59</v>
      </c>
      <c r="C59" s="65">
        <v>500.0</v>
      </c>
      <c r="D59" s="66">
        <v>69150.0</v>
      </c>
      <c r="E59" s="67" t="s">
        <v>3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ht="31.5" customHeight="1">
      <c r="A60" s="63">
        <v>45665.0</v>
      </c>
      <c r="B60" s="64" t="s">
        <v>28</v>
      </c>
      <c r="C60" s="65">
        <v>181.0</v>
      </c>
      <c r="D60" s="66">
        <v>531453.98</v>
      </c>
      <c r="E60" s="67" t="s">
        <v>27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ht="31.5" customHeight="1">
      <c r="A61" s="63">
        <v>45665.0</v>
      </c>
      <c r="B61" s="64" t="s">
        <v>33</v>
      </c>
      <c r="C61" s="65">
        <v>168.0</v>
      </c>
      <c r="D61" s="66">
        <v>285391.81</v>
      </c>
      <c r="E61" s="67" t="s">
        <v>27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ht="31.5" customHeight="1">
      <c r="A62" s="63">
        <v>45665.0</v>
      </c>
      <c r="B62" s="64" t="s">
        <v>48</v>
      </c>
      <c r="C62" s="65">
        <v>315.0</v>
      </c>
      <c r="D62" s="66">
        <v>100000.0</v>
      </c>
      <c r="E62" s="67" t="s">
        <v>3</v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ht="31.5" customHeight="1">
      <c r="A63" s="63">
        <v>45665.0</v>
      </c>
      <c r="B63" s="64" t="s">
        <v>91</v>
      </c>
      <c r="C63" s="65"/>
      <c r="D63" s="66">
        <v>400000.0</v>
      </c>
      <c r="E63" s="67" t="s">
        <v>3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ht="31.5" customHeight="1">
      <c r="A64" s="63">
        <v>45665.0</v>
      </c>
      <c r="B64" s="64" t="s">
        <v>37</v>
      </c>
      <c r="C64" s="65"/>
      <c r="D64" s="66">
        <v>119800.0</v>
      </c>
      <c r="E64" s="67" t="s">
        <v>3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ht="31.5" customHeight="1">
      <c r="A65" s="63">
        <v>45665.0</v>
      </c>
      <c r="B65" s="64" t="s">
        <v>38</v>
      </c>
      <c r="C65" s="65"/>
      <c r="D65" s="66">
        <v>69500.0</v>
      </c>
      <c r="E65" s="67" t="s">
        <v>3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ht="31.5" customHeight="1">
      <c r="A66" s="63">
        <v>45666.0</v>
      </c>
      <c r="B66" s="64" t="s">
        <v>28</v>
      </c>
      <c r="C66" s="65">
        <v>362.0</v>
      </c>
      <c r="D66" s="66">
        <v>439770.1</v>
      </c>
      <c r="E66" s="67" t="s">
        <v>27</v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ht="31.5" customHeight="1">
      <c r="A67" s="63">
        <v>45666.0</v>
      </c>
      <c r="B67" s="64" t="s">
        <v>93</v>
      </c>
      <c r="C67" s="65">
        <v>614.0</v>
      </c>
      <c r="D67" s="66">
        <v>289431.6</v>
      </c>
      <c r="E67" s="67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ht="31.5" customHeight="1">
      <c r="A68" s="63">
        <v>45666.0</v>
      </c>
      <c r="B68" s="64" t="s">
        <v>30</v>
      </c>
      <c r="C68" s="65"/>
      <c r="D68" s="66">
        <v>200000.0</v>
      </c>
      <c r="E68" s="67" t="s">
        <v>3</v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ht="31.5" customHeight="1">
      <c r="A69" s="63">
        <v>45666.0</v>
      </c>
      <c r="B69" s="64" t="s">
        <v>31</v>
      </c>
      <c r="C69" s="65">
        <v>206.0</v>
      </c>
      <c r="D69" s="66">
        <v>26000.0</v>
      </c>
      <c r="E69" s="67" t="s">
        <v>3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ht="31.5" customHeight="1">
      <c r="A70" s="63">
        <v>45666.0</v>
      </c>
      <c r="B70" s="64" t="s">
        <v>35</v>
      </c>
      <c r="C70" s="65" t="s">
        <v>95</v>
      </c>
      <c r="D70" s="66">
        <v>6000.0</v>
      </c>
      <c r="E70" s="67" t="s">
        <v>3</v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ht="31.5" customHeight="1">
      <c r="A71" s="63">
        <v>45666.0</v>
      </c>
      <c r="B71" s="64" t="s">
        <v>96</v>
      </c>
      <c r="C71" s="65">
        <v>164.0</v>
      </c>
      <c r="D71" s="66">
        <v>70800.0</v>
      </c>
      <c r="E71" s="67" t="s">
        <v>3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ht="31.5" customHeight="1">
      <c r="A72" s="63">
        <v>45666.0</v>
      </c>
      <c r="B72" s="64" t="s">
        <v>48</v>
      </c>
      <c r="C72" s="65">
        <v>221.0</v>
      </c>
      <c r="D72" s="66">
        <v>252000.0</v>
      </c>
      <c r="E72" s="67" t="s">
        <v>3</v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ht="31.5" customHeight="1">
      <c r="A73" s="63">
        <v>45666.0</v>
      </c>
      <c r="B73" s="64" t="s">
        <v>40</v>
      </c>
      <c r="C73" s="65">
        <v>754.0</v>
      </c>
      <c r="D73" s="66">
        <v>181090.52</v>
      </c>
      <c r="E73" s="67" t="s">
        <v>27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ht="31.5" customHeight="1">
      <c r="A74" s="63">
        <v>45666.0</v>
      </c>
      <c r="B74" s="64" t="s">
        <v>37</v>
      </c>
      <c r="C74" s="65"/>
      <c r="D74" s="66">
        <v>120600.0</v>
      </c>
      <c r="E74" s="67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ht="31.5" customHeight="1">
      <c r="A75" s="63">
        <v>45666.0</v>
      </c>
      <c r="B75" s="64" t="s">
        <v>38</v>
      </c>
      <c r="C75" s="65"/>
      <c r="D75" s="66">
        <v>75000.0</v>
      </c>
      <c r="E75" s="67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ht="31.5" customHeight="1">
      <c r="A76" s="63">
        <v>45667.0</v>
      </c>
      <c r="B76" s="64" t="s">
        <v>42</v>
      </c>
      <c r="C76" s="65">
        <v>5.0</v>
      </c>
      <c r="D76" s="66">
        <v>146000.0</v>
      </c>
      <c r="E76" s="67" t="s">
        <v>3</v>
      </c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ht="31.5" customHeight="1">
      <c r="A77" s="63">
        <v>45667.0</v>
      </c>
      <c r="B77" s="64" t="s">
        <v>30</v>
      </c>
      <c r="C77" s="65"/>
      <c r="D77" s="66">
        <v>200000.0</v>
      </c>
      <c r="E77" s="67" t="s">
        <v>3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ht="31.5" customHeight="1">
      <c r="A78" s="63">
        <v>45667.0</v>
      </c>
      <c r="B78" s="64" t="s">
        <v>47</v>
      </c>
      <c r="C78" s="65"/>
      <c r="D78" s="66">
        <f>116000+29000</f>
        <v>145000</v>
      </c>
      <c r="E78" s="67" t="s">
        <v>3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ht="31.5" customHeight="1">
      <c r="A79" s="63">
        <v>45667.0</v>
      </c>
      <c r="B79" s="64" t="s">
        <v>25</v>
      </c>
      <c r="C79" s="65">
        <v>914.0</v>
      </c>
      <c r="D79" s="66">
        <v>362762.0</v>
      </c>
      <c r="E79" s="67" t="s">
        <v>27</v>
      </c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ht="31.5" customHeight="1">
      <c r="A80" s="63">
        <v>45667.0</v>
      </c>
      <c r="B80" s="64" t="s">
        <v>31</v>
      </c>
      <c r="C80" s="65">
        <v>234.0</v>
      </c>
      <c r="D80" s="66">
        <v>26000.0</v>
      </c>
      <c r="E80" s="67" t="s">
        <v>3</v>
      </c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ht="31.5" customHeight="1">
      <c r="A81" s="63">
        <v>45667.0</v>
      </c>
      <c r="B81" s="64" t="s">
        <v>35</v>
      </c>
      <c r="C81" s="65" t="s">
        <v>103</v>
      </c>
      <c r="D81" s="66">
        <v>57900.0</v>
      </c>
      <c r="E81" s="67" t="s">
        <v>3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ht="31.5" customHeight="1">
      <c r="A82" s="63">
        <v>45667.0</v>
      </c>
      <c r="B82" s="64" t="s">
        <v>28</v>
      </c>
      <c r="C82" s="65">
        <v>204.0</v>
      </c>
      <c r="D82" s="66">
        <v>515345.24</v>
      </c>
      <c r="E82" s="67" t="s">
        <v>27</v>
      </c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ht="31.5" customHeight="1">
      <c r="A83" s="63">
        <v>45667.0</v>
      </c>
      <c r="B83" s="64" t="s">
        <v>71</v>
      </c>
      <c r="C83" s="65"/>
      <c r="D83" s="66">
        <v>17300.0</v>
      </c>
      <c r="E83" s="67" t="s">
        <v>3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ht="31.5" customHeight="1">
      <c r="A84" s="63">
        <v>45667.0</v>
      </c>
      <c r="B84" s="64" t="s">
        <v>68</v>
      </c>
      <c r="C84" s="65"/>
      <c r="D84" s="66">
        <v>43300.0</v>
      </c>
      <c r="E84" s="67" t="s">
        <v>3</v>
      </c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ht="31.5" customHeight="1">
      <c r="A85" s="63">
        <v>45667.0</v>
      </c>
      <c r="B85" s="64" t="s">
        <v>37</v>
      </c>
      <c r="C85" s="65"/>
      <c r="D85" s="66">
        <v>521200.0</v>
      </c>
      <c r="E85" s="67" t="s">
        <v>3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ht="31.5" customHeight="1">
      <c r="A86" s="63">
        <v>45667.0</v>
      </c>
      <c r="B86" s="64" t="s">
        <v>38</v>
      </c>
      <c r="C86" s="65"/>
      <c r="D86" s="66">
        <v>215880.0</v>
      </c>
      <c r="E86" s="67" t="s">
        <v>3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ht="31.5" customHeight="1">
      <c r="A87" s="63">
        <v>45668.0</v>
      </c>
      <c r="B87" s="64" t="s">
        <v>28</v>
      </c>
      <c r="C87" s="65">
        <v>224.0</v>
      </c>
      <c r="D87" s="66">
        <v>457568.95</v>
      </c>
      <c r="E87" s="67" t="s">
        <v>27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ht="31.5" customHeight="1">
      <c r="A88" s="63">
        <v>45668.0</v>
      </c>
      <c r="B88" s="64" t="s">
        <v>106</v>
      </c>
      <c r="C88" s="65">
        <v>759.0</v>
      </c>
      <c r="D88" s="66">
        <v>25740.0</v>
      </c>
      <c r="E88" s="67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ht="31.5" customHeight="1">
      <c r="A89" s="63">
        <v>45668.0</v>
      </c>
      <c r="B89" s="64" t="s">
        <v>59</v>
      </c>
      <c r="C89" s="65">
        <v>716.0</v>
      </c>
      <c r="D89" s="66">
        <v>69150.0</v>
      </c>
      <c r="E89" s="67" t="s">
        <v>3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ht="31.5" customHeight="1">
      <c r="A90" s="63">
        <v>45668.0</v>
      </c>
      <c r="B90" s="64" t="s">
        <v>33</v>
      </c>
      <c r="C90" s="65">
        <v>437.0</v>
      </c>
      <c r="D90" s="66">
        <v>77109.24</v>
      </c>
      <c r="E90" s="67" t="s">
        <v>27</v>
      </c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ht="31.5" customHeight="1">
      <c r="A91" s="63">
        <v>45668.0</v>
      </c>
      <c r="B91" s="64" t="s">
        <v>82</v>
      </c>
      <c r="C91" s="65">
        <v>490.0</v>
      </c>
      <c r="D91" s="66">
        <v>179900.0</v>
      </c>
      <c r="E91" s="67" t="s">
        <v>3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ht="31.5" customHeight="1">
      <c r="A92" s="63">
        <v>45668.0</v>
      </c>
      <c r="B92" s="64" t="s">
        <v>37</v>
      </c>
      <c r="C92" s="65"/>
      <c r="D92" s="66">
        <v>392800.0</v>
      </c>
      <c r="E92" s="67" t="s">
        <v>3</v>
      </c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ht="31.5" customHeight="1">
      <c r="A93" s="63">
        <v>45670.0</v>
      </c>
      <c r="B93" s="64" t="s">
        <v>91</v>
      </c>
      <c r="C93" s="65">
        <v>503.0</v>
      </c>
      <c r="D93" s="66">
        <v>43150.0</v>
      </c>
      <c r="E93" s="67" t="s">
        <v>3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ht="31.5" customHeight="1">
      <c r="A94" s="63">
        <v>45670.0</v>
      </c>
      <c r="B94" s="64" t="s">
        <v>28</v>
      </c>
      <c r="C94" s="65">
        <v>241.0</v>
      </c>
      <c r="D94" s="66">
        <v>282507.73</v>
      </c>
      <c r="E94" s="67" t="s">
        <v>27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ht="31.5" customHeight="1">
      <c r="A95" s="63">
        <v>45670.0</v>
      </c>
      <c r="B95" s="64" t="s">
        <v>78</v>
      </c>
      <c r="C95" s="65"/>
      <c r="D95" s="66">
        <v>13000.0</v>
      </c>
      <c r="E95" s="67" t="s">
        <v>3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ht="31.5" customHeight="1">
      <c r="A96" s="63">
        <v>45670.0</v>
      </c>
      <c r="B96" s="64" t="s">
        <v>47</v>
      </c>
      <c r="C96" s="65"/>
      <c r="D96" s="66">
        <v>58000.0</v>
      </c>
      <c r="E96" s="67" t="s">
        <v>3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ht="31.5" customHeight="1">
      <c r="A97" s="63">
        <v>45670.0</v>
      </c>
      <c r="B97" s="64" t="s">
        <v>31</v>
      </c>
      <c r="C97" s="65">
        <v>300.0</v>
      </c>
      <c r="D97" s="66">
        <v>26000.0</v>
      </c>
      <c r="E97" s="67" t="s">
        <v>3</v>
      </c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ht="31.5" customHeight="1">
      <c r="A98" s="63">
        <v>45670.0</v>
      </c>
      <c r="B98" s="64" t="s">
        <v>114</v>
      </c>
      <c r="C98" s="65"/>
      <c r="D98" s="66">
        <v>5000.0</v>
      </c>
      <c r="E98" s="67" t="s">
        <v>3</v>
      </c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ht="31.5" customHeight="1">
      <c r="A99" s="63">
        <v>45670.0</v>
      </c>
      <c r="B99" s="64" t="s">
        <v>50</v>
      </c>
      <c r="C99" s="65">
        <v>740.0</v>
      </c>
      <c r="D99" s="66">
        <v>60600.0</v>
      </c>
      <c r="E99" s="67" t="s">
        <v>3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ht="31.5" customHeight="1">
      <c r="A100" s="63">
        <v>45670.0</v>
      </c>
      <c r="B100" s="64" t="s">
        <v>33</v>
      </c>
      <c r="C100" s="65">
        <v>521.0</v>
      </c>
      <c r="D100" s="66">
        <v>74000.0</v>
      </c>
      <c r="E100" s="67" t="s">
        <v>27</v>
      </c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ht="31.5" customHeight="1">
      <c r="A101" s="63">
        <v>45670.0</v>
      </c>
      <c r="B101" s="64" t="s">
        <v>117</v>
      </c>
      <c r="C101" s="65"/>
      <c r="D101" s="66">
        <v>25000.0</v>
      </c>
      <c r="E101" s="67" t="s">
        <v>3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ht="31.5" customHeight="1">
      <c r="A102" s="63">
        <v>45670.0</v>
      </c>
      <c r="B102" s="64" t="s">
        <v>59</v>
      </c>
      <c r="C102" s="65" t="s">
        <v>118</v>
      </c>
      <c r="D102" s="66">
        <v>205150.0</v>
      </c>
      <c r="E102" s="67" t="s">
        <v>3</v>
      </c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ht="31.5" customHeight="1">
      <c r="A103" s="63">
        <v>45670.0</v>
      </c>
      <c r="B103" s="64" t="s">
        <v>52</v>
      </c>
      <c r="C103" s="65">
        <v>732.0</v>
      </c>
      <c r="D103" s="66">
        <v>46000.0</v>
      </c>
      <c r="E103" s="67" t="s">
        <v>3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ht="31.5" customHeight="1">
      <c r="A104" s="63">
        <v>45670.0</v>
      </c>
      <c r="B104" s="64" t="s">
        <v>37</v>
      </c>
      <c r="C104" s="65"/>
      <c r="D104" s="66">
        <v>199700.0</v>
      </c>
      <c r="E104" s="67" t="s">
        <v>3</v>
      </c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ht="31.5" customHeight="1">
      <c r="A105" s="63">
        <v>45670.0</v>
      </c>
      <c r="B105" s="64" t="s">
        <v>38</v>
      </c>
      <c r="C105" s="65"/>
      <c r="D105" s="66">
        <v>73000.0</v>
      </c>
      <c r="E105" s="67" t="s">
        <v>3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ht="31.5" customHeight="1">
      <c r="A106" s="63">
        <v>45671.0</v>
      </c>
      <c r="B106" s="64" t="s">
        <v>30</v>
      </c>
      <c r="C106" s="65"/>
      <c r="D106" s="66">
        <v>300000.0</v>
      </c>
      <c r="E106" s="67" t="s">
        <v>3</v>
      </c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ht="31.5" customHeight="1">
      <c r="A107" s="63">
        <v>45671.0</v>
      </c>
      <c r="B107" s="64" t="s">
        <v>40</v>
      </c>
      <c r="C107" s="65">
        <v>904.0</v>
      </c>
      <c r="D107" s="66">
        <v>213104.75</v>
      </c>
      <c r="E107" s="67" t="s">
        <v>27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ht="31.5" customHeight="1">
      <c r="A108" s="63">
        <v>45671.0</v>
      </c>
      <c r="B108" s="64" t="s">
        <v>31</v>
      </c>
      <c r="C108" s="65">
        <v>309.0</v>
      </c>
      <c r="D108" s="66">
        <v>26000.0</v>
      </c>
      <c r="E108" s="67" t="s">
        <v>3</v>
      </c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ht="31.5" customHeight="1">
      <c r="A109" s="63">
        <v>45671.0</v>
      </c>
      <c r="B109" s="64" t="s">
        <v>25</v>
      </c>
      <c r="C109" s="65">
        <v>900.0</v>
      </c>
      <c r="D109" s="66">
        <v>411308.0</v>
      </c>
      <c r="E109" s="67" t="s">
        <v>27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ht="31.5" customHeight="1">
      <c r="A110" s="63">
        <v>45671.0</v>
      </c>
      <c r="B110" s="64" t="s">
        <v>33</v>
      </c>
      <c r="C110" s="65">
        <v>613.0</v>
      </c>
      <c r="D110" s="66">
        <v>204166.68</v>
      </c>
      <c r="E110" s="67" t="s">
        <v>27</v>
      </c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ht="31.5" customHeight="1">
      <c r="A111" s="63">
        <v>45671.0</v>
      </c>
      <c r="B111" s="64" t="s">
        <v>48</v>
      </c>
      <c r="C111" s="65">
        <v>328.0</v>
      </c>
      <c r="D111" s="66">
        <v>252000.0</v>
      </c>
      <c r="E111" s="67" t="s">
        <v>3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ht="31.5" customHeight="1">
      <c r="A112" s="63">
        <v>45671.0</v>
      </c>
      <c r="B112" s="64" t="s">
        <v>125</v>
      </c>
      <c r="C112" s="65">
        <v>489.0</v>
      </c>
      <c r="D112" s="66">
        <v>42000.0</v>
      </c>
      <c r="E112" s="67" t="s">
        <v>3</v>
      </c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ht="31.5" customHeight="1">
      <c r="A113" s="63">
        <v>45671.0</v>
      </c>
      <c r="B113" s="64" t="s">
        <v>127</v>
      </c>
      <c r="C113" s="65"/>
      <c r="D113" s="66">
        <v>32500.0</v>
      </c>
      <c r="E113" s="67" t="s">
        <v>3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ht="31.5" customHeight="1">
      <c r="A114" s="63">
        <v>45671.0</v>
      </c>
      <c r="B114" s="64" t="s">
        <v>37</v>
      </c>
      <c r="C114" s="65"/>
      <c r="D114" s="66">
        <v>165900.0</v>
      </c>
      <c r="E114" s="67" t="s">
        <v>3</v>
      </c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ht="31.5" customHeight="1">
      <c r="A115" s="63">
        <v>45671.0</v>
      </c>
      <c r="B115" s="64" t="s">
        <v>38</v>
      </c>
      <c r="C115" s="65"/>
      <c r="D115" s="66">
        <v>55500.0</v>
      </c>
      <c r="E115" s="67" t="s">
        <v>3</v>
      </c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ht="31.5" customHeight="1">
      <c r="A116" s="63">
        <v>45672.0</v>
      </c>
      <c r="B116" s="64" t="s">
        <v>40</v>
      </c>
      <c r="C116" s="65">
        <v>955.0</v>
      </c>
      <c r="D116" s="66">
        <v>171812.0</v>
      </c>
      <c r="E116" s="67" t="s">
        <v>27</v>
      </c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ht="31.5" customHeight="1">
      <c r="A117" s="63">
        <v>45672.0</v>
      </c>
      <c r="B117" s="64" t="s">
        <v>31</v>
      </c>
      <c r="C117" s="65">
        <v>345.0</v>
      </c>
      <c r="D117" s="66">
        <v>26000.0</v>
      </c>
      <c r="E117" s="67" t="s">
        <v>3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ht="31.5" customHeight="1">
      <c r="A118" s="63">
        <v>45672.0</v>
      </c>
      <c r="B118" s="64" t="s">
        <v>30</v>
      </c>
      <c r="C118" s="65"/>
      <c r="D118" s="66">
        <v>100000.0</v>
      </c>
      <c r="E118" s="67" t="s">
        <v>3</v>
      </c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ht="31.5" customHeight="1">
      <c r="A119" s="63">
        <v>45672.0</v>
      </c>
      <c r="B119" s="64" t="s">
        <v>47</v>
      </c>
      <c r="C119" s="65"/>
      <c r="D119" s="66">
        <v>58000.0</v>
      </c>
      <c r="E119" s="67" t="s">
        <v>3</v>
      </c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ht="31.5" customHeight="1">
      <c r="A120" s="63">
        <v>45672.0</v>
      </c>
      <c r="B120" s="64" t="s">
        <v>59</v>
      </c>
      <c r="C120" s="65">
        <v>310.0</v>
      </c>
      <c r="D120" s="66">
        <v>69150.0</v>
      </c>
      <c r="E120" s="67" t="s">
        <v>3</v>
      </c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ht="31.5" customHeight="1">
      <c r="A121" s="63">
        <v>45672.0</v>
      </c>
      <c r="B121" s="64" t="s">
        <v>28</v>
      </c>
      <c r="C121" s="65">
        <v>304.0</v>
      </c>
      <c r="D121" s="66">
        <v>536180.76</v>
      </c>
      <c r="E121" s="67" t="s">
        <v>27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ht="31.5" customHeight="1">
      <c r="A122" s="63">
        <v>45672.0</v>
      </c>
      <c r="B122" s="64" t="s">
        <v>93</v>
      </c>
      <c r="C122" s="65">
        <v>311.0</v>
      </c>
      <c r="D122" s="66">
        <v>338339.0</v>
      </c>
      <c r="E122" s="67" t="s">
        <v>27</v>
      </c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ht="31.5" customHeight="1">
      <c r="A123" s="63">
        <v>45672.0</v>
      </c>
      <c r="B123" s="64" t="s">
        <v>33</v>
      </c>
      <c r="C123" s="65">
        <v>713.0</v>
      </c>
      <c r="D123" s="66">
        <v>74000.0</v>
      </c>
      <c r="E123" s="67" t="s">
        <v>27</v>
      </c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ht="31.5" customHeight="1">
      <c r="A124" s="63">
        <v>45672.0</v>
      </c>
      <c r="B124" s="64" t="s">
        <v>48</v>
      </c>
      <c r="C124" s="65">
        <v>238.0</v>
      </c>
      <c r="D124" s="66">
        <v>252000.0</v>
      </c>
      <c r="E124" s="67" t="s">
        <v>3</v>
      </c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ht="31.5" customHeight="1">
      <c r="A125" s="63">
        <v>45672.0</v>
      </c>
      <c r="B125" s="64" t="s">
        <v>50</v>
      </c>
      <c r="C125" s="65">
        <v>962.0</v>
      </c>
      <c r="D125" s="66">
        <v>50600.0</v>
      </c>
      <c r="E125" s="67" t="s">
        <v>3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ht="31.5" customHeight="1">
      <c r="A126" s="63">
        <v>45672.0</v>
      </c>
      <c r="B126" s="64" t="s">
        <v>37</v>
      </c>
      <c r="C126" s="65"/>
      <c r="D126" s="66">
        <v>138200.0</v>
      </c>
      <c r="E126" s="67" t="s">
        <v>3</v>
      </c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ht="31.5" customHeight="1">
      <c r="A127" s="63">
        <v>45672.0</v>
      </c>
      <c r="B127" s="64" t="s">
        <v>38</v>
      </c>
      <c r="C127" s="65"/>
      <c r="D127" s="66">
        <v>74400.0</v>
      </c>
      <c r="E127" s="67" t="s">
        <v>3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ht="31.5" customHeight="1">
      <c r="A128" s="63">
        <v>45673.0</v>
      </c>
      <c r="B128" s="64" t="s">
        <v>28</v>
      </c>
      <c r="C128" s="65">
        <v>308.0</v>
      </c>
      <c r="D128" s="66">
        <v>411828.83</v>
      </c>
      <c r="E128" s="67" t="s">
        <v>27</v>
      </c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ht="31.5" customHeight="1">
      <c r="A129" s="63">
        <v>45673.0</v>
      </c>
      <c r="B129" s="64" t="s">
        <v>55</v>
      </c>
      <c r="C129" s="65">
        <v>381.0</v>
      </c>
      <c r="D129" s="66">
        <v>63000.0</v>
      </c>
      <c r="E129" s="67" t="s">
        <v>3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ht="31.5" customHeight="1">
      <c r="A130" s="63">
        <v>45673.0</v>
      </c>
      <c r="B130" s="64" t="s">
        <v>106</v>
      </c>
      <c r="C130" s="65">
        <v>759.0</v>
      </c>
      <c r="D130" s="66">
        <v>25000.0</v>
      </c>
      <c r="E130" s="67" t="s">
        <v>3</v>
      </c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ht="31.5" customHeight="1">
      <c r="A131" s="63">
        <v>45673.0</v>
      </c>
      <c r="B131" s="64" t="s">
        <v>25</v>
      </c>
      <c r="C131" s="65">
        <v>958.0</v>
      </c>
      <c r="D131" s="66">
        <v>363642.0</v>
      </c>
      <c r="E131" s="67" t="s">
        <v>27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ht="31.5" customHeight="1">
      <c r="A132" s="63">
        <v>45673.0</v>
      </c>
      <c r="B132" s="64" t="s">
        <v>78</v>
      </c>
      <c r="C132" s="65"/>
      <c r="D132" s="66">
        <v>15600.0</v>
      </c>
      <c r="E132" s="67" t="s">
        <v>3</v>
      </c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ht="31.5" customHeight="1">
      <c r="A133" s="63">
        <v>45673.0</v>
      </c>
      <c r="B133" s="64" t="s">
        <v>68</v>
      </c>
      <c r="C133" s="65">
        <v>123.0</v>
      </c>
      <c r="D133" s="66">
        <v>42500.0</v>
      </c>
      <c r="E133" s="67" t="s">
        <v>3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ht="31.5" customHeight="1">
      <c r="A134" s="63">
        <v>45673.0</v>
      </c>
      <c r="B134" s="64" t="s">
        <v>80</v>
      </c>
      <c r="C134" s="65">
        <v>429.0</v>
      </c>
      <c r="D134" s="66">
        <v>122000.0</v>
      </c>
      <c r="E134" s="67" t="s">
        <v>3</v>
      </c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ht="31.5" customHeight="1">
      <c r="A135" s="63">
        <v>45673.0</v>
      </c>
      <c r="B135" s="64" t="s">
        <v>82</v>
      </c>
      <c r="C135" s="65"/>
      <c r="D135" s="66">
        <v>87600.0</v>
      </c>
      <c r="E135" s="67" t="s">
        <v>3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ht="31.5" customHeight="1">
      <c r="A136" s="63">
        <v>45673.0</v>
      </c>
      <c r="B136" s="64" t="s">
        <v>52</v>
      </c>
      <c r="C136" s="65"/>
      <c r="D136" s="66">
        <v>17000.0</v>
      </c>
      <c r="E136" s="67" t="s">
        <v>3</v>
      </c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ht="31.5" customHeight="1">
      <c r="A137" s="63">
        <v>45673.0</v>
      </c>
      <c r="B137" s="64" t="s">
        <v>37</v>
      </c>
      <c r="C137" s="65"/>
      <c r="D137" s="66">
        <v>191700.0</v>
      </c>
      <c r="E137" s="67" t="s">
        <v>3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ht="31.5" customHeight="1">
      <c r="A138" s="63">
        <v>45673.0</v>
      </c>
      <c r="B138" s="64" t="s">
        <v>38</v>
      </c>
      <c r="C138" s="65"/>
      <c r="D138" s="66">
        <v>72150.0</v>
      </c>
      <c r="E138" s="67" t="s">
        <v>3</v>
      </c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ht="31.5" customHeight="1">
      <c r="A139" s="63">
        <v>45674.0</v>
      </c>
      <c r="B139" s="64" t="s">
        <v>40</v>
      </c>
      <c r="C139" s="65">
        <v>49.0</v>
      </c>
      <c r="D139" s="66">
        <v>220465.86</v>
      </c>
      <c r="E139" s="67" t="s">
        <v>27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ht="31.5" customHeight="1">
      <c r="A140" s="63">
        <v>45674.0</v>
      </c>
      <c r="B140" s="64" t="s">
        <v>31</v>
      </c>
      <c r="C140" s="65">
        <v>372.0</v>
      </c>
      <c r="D140" s="66">
        <v>14000.0</v>
      </c>
      <c r="E140" s="67" t="s">
        <v>3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ht="31.5" customHeight="1">
      <c r="A141" s="63">
        <v>45674.0</v>
      </c>
      <c r="B141" s="64" t="s">
        <v>28</v>
      </c>
      <c r="C141" s="65">
        <v>325.0</v>
      </c>
      <c r="D141" s="66">
        <v>493057.79</v>
      </c>
      <c r="E141" s="67" t="s">
        <v>27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ht="31.5" customHeight="1">
      <c r="A142" s="63">
        <v>45674.0</v>
      </c>
      <c r="B142" s="64" t="s">
        <v>59</v>
      </c>
      <c r="C142" s="65">
        <v>555.0</v>
      </c>
      <c r="D142" s="66">
        <v>69150.0</v>
      </c>
      <c r="E142" s="67" t="s">
        <v>3</v>
      </c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ht="31.5" customHeight="1">
      <c r="A143" s="63">
        <v>45674.0</v>
      </c>
      <c r="B143" s="64" t="s">
        <v>47</v>
      </c>
      <c r="C143" s="65"/>
      <c r="D143" s="66">
        <v>87000.0</v>
      </c>
      <c r="E143" s="67" t="s">
        <v>3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ht="31.5" customHeight="1">
      <c r="A144" s="63">
        <v>45674.0</v>
      </c>
      <c r="B144" s="64" t="s">
        <v>33</v>
      </c>
      <c r="C144" s="65">
        <v>875.0</v>
      </c>
      <c r="D144" s="66">
        <v>119124.86</v>
      </c>
      <c r="E144" s="67" t="s">
        <v>27</v>
      </c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ht="31.5" customHeight="1">
      <c r="A145" s="63">
        <v>45674.0</v>
      </c>
      <c r="B145" s="64" t="s">
        <v>33</v>
      </c>
      <c r="C145" s="65">
        <v>924.0</v>
      </c>
      <c r="D145" s="66">
        <v>76.0</v>
      </c>
      <c r="E145" s="67" t="s">
        <v>27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ht="31.5" customHeight="1">
      <c r="A146" s="63">
        <v>45674.0</v>
      </c>
      <c r="B146" s="64" t="s">
        <v>71</v>
      </c>
      <c r="C146" s="65"/>
      <c r="D146" s="66">
        <v>17300.0</v>
      </c>
      <c r="E146" s="67" t="s">
        <v>3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ht="31.5" customHeight="1">
      <c r="A147" s="63">
        <v>45674.0</v>
      </c>
      <c r="B147" s="64" t="s">
        <v>50</v>
      </c>
      <c r="C147" s="65">
        <v>138.0</v>
      </c>
      <c r="D147" s="66">
        <v>60900.0</v>
      </c>
      <c r="E147" s="67" t="s">
        <v>3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ht="31.5" customHeight="1">
      <c r="A148" s="63">
        <v>45674.0</v>
      </c>
      <c r="B148" s="64" t="s">
        <v>48</v>
      </c>
      <c r="C148" s="65">
        <v>244.0</v>
      </c>
      <c r="D148" s="66">
        <v>252000.0</v>
      </c>
      <c r="E148" s="67" t="s">
        <v>3</v>
      </c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ht="31.5" customHeight="1">
      <c r="A149" s="63">
        <v>45674.0</v>
      </c>
      <c r="B149" s="64" t="s">
        <v>37</v>
      </c>
      <c r="C149" s="65"/>
      <c r="D149" s="66">
        <v>381100.0</v>
      </c>
      <c r="E149" s="67" t="s">
        <v>3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ht="31.5" customHeight="1">
      <c r="A150" s="63">
        <v>45674.0</v>
      </c>
      <c r="B150" s="64" t="s">
        <v>38</v>
      </c>
      <c r="C150" s="65"/>
      <c r="D150" s="66">
        <v>393000.0</v>
      </c>
      <c r="E150" s="67" t="s">
        <v>3</v>
      </c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ht="31.5" customHeight="1">
      <c r="A151" s="63">
        <v>45675.0</v>
      </c>
      <c r="B151" s="64" t="s">
        <v>93</v>
      </c>
      <c r="C151" s="65">
        <v>160.0</v>
      </c>
      <c r="D151" s="66">
        <v>316183.69</v>
      </c>
      <c r="E151" s="67" t="s">
        <v>27</v>
      </c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ht="31.5" customHeight="1">
      <c r="A152" s="63">
        <v>45675.0</v>
      </c>
      <c r="B152" s="64" t="s">
        <v>28</v>
      </c>
      <c r="C152" s="65">
        <v>339.0</v>
      </c>
      <c r="D152" s="66">
        <v>326365.86</v>
      </c>
      <c r="E152" s="67" t="s">
        <v>27</v>
      </c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ht="31.5" customHeight="1">
      <c r="A153" s="63">
        <v>45675.0</v>
      </c>
      <c r="B153" s="64" t="s">
        <v>151</v>
      </c>
      <c r="C153" s="65">
        <v>129.0</v>
      </c>
      <c r="D153" s="66">
        <v>259300.0</v>
      </c>
      <c r="E153" s="67" t="s">
        <v>3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ht="31.5" customHeight="1">
      <c r="A154" s="63">
        <v>45675.0</v>
      </c>
      <c r="B154" s="64" t="s">
        <v>68</v>
      </c>
      <c r="C154" s="65">
        <v>126.0</v>
      </c>
      <c r="D154" s="66">
        <v>59800.0</v>
      </c>
      <c r="E154" s="67" t="s">
        <v>3</v>
      </c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ht="31.5" customHeight="1">
      <c r="A155" s="63">
        <v>45675.0</v>
      </c>
      <c r="B155" s="64" t="s">
        <v>42</v>
      </c>
      <c r="C155" s="65">
        <v>125.0</v>
      </c>
      <c r="D155" s="66">
        <v>145899.72</v>
      </c>
      <c r="E155" s="67" t="s">
        <v>27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ht="31.5" customHeight="1">
      <c r="A156" s="63">
        <v>45675.0</v>
      </c>
      <c r="B156" s="64" t="s">
        <v>62</v>
      </c>
      <c r="C156" s="65"/>
      <c r="D156" s="66">
        <v>35000.0</v>
      </c>
      <c r="E156" s="67" t="s">
        <v>3</v>
      </c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ht="31.5" customHeight="1">
      <c r="A157" s="63">
        <v>45675.0</v>
      </c>
      <c r="B157" s="64" t="s">
        <v>37</v>
      </c>
      <c r="C157" s="65"/>
      <c r="D157" s="66">
        <v>236600.0</v>
      </c>
      <c r="E157" s="67" t="s">
        <v>3</v>
      </c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ht="31.5" customHeight="1">
      <c r="A158" s="63">
        <v>45677.0</v>
      </c>
      <c r="B158" s="64" t="s">
        <v>28</v>
      </c>
      <c r="C158" s="65">
        <v>356.0</v>
      </c>
      <c r="D158" s="66">
        <v>474584.99</v>
      </c>
      <c r="E158" s="67" t="s">
        <v>27</v>
      </c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ht="31.5" customHeight="1">
      <c r="A159" s="63">
        <v>45677.0</v>
      </c>
      <c r="B159" s="64" t="s">
        <v>47</v>
      </c>
      <c r="C159" s="65"/>
      <c r="D159" s="66">
        <v>87000.0</v>
      </c>
      <c r="E159" s="67" t="s">
        <v>3</v>
      </c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ht="31.5" customHeight="1">
      <c r="A160" s="63">
        <v>45677.0</v>
      </c>
      <c r="B160" s="64" t="s">
        <v>31</v>
      </c>
      <c r="C160" s="65">
        <v>433.0</v>
      </c>
      <c r="D160" s="66">
        <v>28000.0</v>
      </c>
      <c r="E160" s="67" t="s">
        <v>3</v>
      </c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ht="31.5" customHeight="1">
      <c r="A161" s="63">
        <v>45677.0</v>
      </c>
      <c r="B161" s="64" t="s">
        <v>50</v>
      </c>
      <c r="C161" s="65">
        <v>320.0</v>
      </c>
      <c r="D161" s="66">
        <v>50300.0</v>
      </c>
      <c r="E161" s="67" t="s">
        <v>3</v>
      </c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ht="31.5" customHeight="1">
      <c r="A162" s="63">
        <v>45677.0</v>
      </c>
      <c r="B162" s="64" t="s">
        <v>78</v>
      </c>
      <c r="C162" s="65"/>
      <c r="D162" s="66">
        <v>19500.0</v>
      </c>
      <c r="E162" s="67" t="s">
        <v>3</v>
      </c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ht="31.5" customHeight="1">
      <c r="A163" s="63">
        <v>45677.0</v>
      </c>
      <c r="B163" s="64" t="s">
        <v>52</v>
      </c>
      <c r="C163" s="65"/>
      <c r="D163" s="66">
        <v>56000.0</v>
      </c>
      <c r="E163" s="67" t="s">
        <v>3</v>
      </c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ht="31.5" customHeight="1">
      <c r="A164" s="63">
        <v>45677.0</v>
      </c>
      <c r="B164" s="64" t="s">
        <v>37</v>
      </c>
      <c r="C164" s="65"/>
      <c r="D164" s="66">
        <v>133100.0</v>
      </c>
      <c r="E164" s="67" t="s">
        <v>3</v>
      </c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ht="31.5" customHeight="1">
      <c r="A165" s="63">
        <v>45677.0</v>
      </c>
      <c r="B165" s="64" t="s">
        <v>38</v>
      </c>
      <c r="C165" s="65"/>
      <c r="D165" s="66">
        <v>49500.0</v>
      </c>
      <c r="E165" s="67" t="s">
        <v>3</v>
      </c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ht="31.5" customHeight="1">
      <c r="A166" s="63">
        <v>45678.0</v>
      </c>
      <c r="B166" s="64" t="s">
        <v>30</v>
      </c>
      <c r="C166" s="65"/>
      <c r="D166" s="66">
        <v>500000.0</v>
      </c>
      <c r="E166" s="67" t="s">
        <v>3</v>
      </c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ht="31.5" customHeight="1">
      <c r="A167" s="63">
        <v>45678.0</v>
      </c>
      <c r="B167" s="64" t="s">
        <v>30</v>
      </c>
      <c r="C167" s="65">
        <v>459.0</v>
      </c>
      <c r="D167" s="66">
        <v>28000.0</v>
      </c>
      <c r="E167" s="67" t="s">
        <v>3</v>
      </c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ht="31.5" customHeight="1">
      <c r="A168" s="63">
        <v>45678.0</v>
      </c>
      <c r="B168" s="64" t="s">
        <v>33</v>
      </c>
      <c r="C168" s="65">
        <v>146.0</v>
      </c>
      <c r="D168" s="66">
        <v>288551.63</v>
      </c>
      <c r="E168" s="67" t="s">
        <v>27</v>
      </c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ht="31.5" customHeight="1">
      <c r="A169" s="63">
        <v>45678.0</v>
      </c>
      <c r="B169" s="64" t="s">
        <v>28</v>
      </c>
      <c r="C169" s="65">
        <v>384.0</v>
      </c>
      <c r="D169" s="66">
        <v>489299.99</v>
      </c>
      <c r="E169" s="67" t="s">
        <v>27</v>
      </c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ht="31.5" customHeight="1">
      <c r="A170" s="63">
        <v>45678.0</v>
      </c>
      <c r="B170" s="64" t="s">
        <v>162</v>
      </c>
      <c r="C170" s="65">
        <v>226.0</v>
      </c>
      <c r="D170" s="66">
        <v>324800.0</v>
      </c>
      <c r="E170" s="67" t="s">
        <v>27</v>
      </c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ht="31.5" customHeight="1">
      <c r="A171" s="63">
        <v>45678.0</v>
      </c>
      <c r="B171" s="64" t="s">
        <v>48</v>
      </c>
      <c r="C171" s="65">
        <v>307.0</v>
      </c>
      <c r="D171" s="66">
        <v>152000.0</v>
      </c>
      <c r="E171" s="67" t="s">
        <v>3</v>
      </c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ht="31.5" customHeight="1">
      <c r="A172" s="63">
        <v>45678.0</v>
      </c>
      <c r="B172" s="64" t="s">
        <v>25</v>
      </c>
      <c r="C172" s="65">
        <v>716.0</v>
      </c>
      <c r="D172" s="66">
        <v>420252.0</v>
      </c>
      <c r="E172" s="67" t="s">
        <v>27</v>
      </c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ht="31.5" customHeight="1">
      <c r="A173" s="63">
        <v>45678.0</v>
      </c>
      <c r="B173" s="64" t="s">
        <v>91</v>
      </c>
      <c r="C173" s="65"/>
      <c r="D173" s="66">
        <v>500000.0</v>
      </c>
      <c r="E173" s="67" t="s">
        <v>3</v>
      </c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ht="31.5" customHeight="1">
      <c r="A174" s="63">
        <v>45678.0</v>
      </c>
      <c r="B174" s="64" t="s">
        <v>82</v>
      </c>
      <c r="C174" s="65">
        <v>157.0</v>
      </c>
      <c r="D174" s="66">
        <v>146000.0</v>
      </c>
      <c r="E174" s="67" t="s">
        <v>3</v>
      </c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ht="31.5" customHeight="1">
      <c r="A175" s="63">
        <v>45678.0</v>
      </c>
      <c r="B175" s="64" t="s">
        <v>37</v>
      </c>
      <c r="C175" s="65"/>
      <c r="D175" s="66">
        <v>144800.0</v>
      </c>
      <c r="E175" s="67" t="s">
        <v>3</v>
      </c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ht="31.5" customHeight="1">
      <c r="A176" s="63">
        <v>45678.0</v>
      </c>
      <c r="B176" s="64" t="s">
        <v>38</v>
      </c>
      <c r="C176" s="65"/>
      <c r="D176" s="66">
        <v>75100.0</v>
      </c>
      <c r="E176" s="67" t="s">
        <v>3</v>
      </c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ht="31.5" customHeight="1">
      <c r="A177" s="63">
        <v>45679.0</v>
      </c>
      <c r="B177" s="64" t="s">
        <v>28</v>
      </c>
      <c r="C177" s="65">
        <v>407.0</v>
      </c>
      <c r="D177" s="66">
        <v>484530.0</v>
      </c>
      <c r="E177" s="67" t="s">
        <v>27</v>
      </c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ht="31.5" customHeight="1">
      <c r="A178" s="63">
        <v>45679.0</v>
      </c>
      <c r="B178" s="64" t="s">
        <v>31</v>
      </c>
      <c r="C178" s="65">
        <v>478.0</v>
      </c>
      <c r="D178" s="66">
        <v>21000.0</v>
      </c>
      <c r="E178" s="67" t="s">
        <v>3</v>
      </c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ht="31.5" customHeight="1">
      <c r="A179" s="63">
        <v>45679.0</v>
      </c>
      <c r="B179" s="64" t="s">
        <v>35</v>
      </c>
      <c r="C179" s="65" t="s">
        <v>167</v>
      </c>
      <c r="D179" s="66">
        <v>22000.0</v>
      </c>
      <c r="E179" s="67" t="s">
        <v>3</v>
      </c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ht="31.5" customHeight="1">
      <c r="A180" s="63">
        <v>45679.0</v>
      </c>
      <c r="B180" s="64" t="s">
        <v>47</v>
      </c>
      <c r="C180" s="65"/>
      <c r="D180" s="66">
        <v>58000.0</v>
      </c>
      <c r="E180" s="67" t="s">
        <v>3</v>
      </c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ht="31.5" customHeight="1">
      <c r="A181" s="63">
        <v>45679.0</v>
      </c>
      <c r="B181" s="64" t="s">
        <v>59</v>
      </c>
      <c r="C181" s="65">
        <v>176.0</v>
      </c>
      <c r="D181" s="66">
        <v>142000.0</v>
      </c>
      <c r="E181" s="67" t="s">
        <v>3</v>
      </c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ht="31.5" customHeight="1">
      <c r="A182" s="63">
        <v>45679.0</v>
      </c>
      <c r="B182" s="64" t="s">
        <v>169</v>
      </c>
      <c r="C182" s="65"/>
      <c r="D182" s="66">
        <v>191020.0</v>
      </c>
      <c r="E182" s="67" t="s">
        <v>3</v>
      </c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 ht="31.5" customHeight="1">
      <c r="A183" s="63">
        <v>45679.0</v>
      </c>
      <c r="B183" s="64" t="s">
        <v>71</v>
      </c>
      <c r="C183" s="65"/>
      <c r="D183" s="66">
        <v>26960.0</v>
      </c>
      <c r="E183" s="67" t="s">
        <v>3</v>
      </c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 ht="31.5" customHeight="1">
      <c r="A184" s="63">
        <v>45679.0</v>
      </c>
      <c r="B184" s="64" t="s">
        <v>48</v>
      </c>
      <c r="C184" s="65">
        <v>344.0</v>
      </c>
      <c r="D184" s="66">
        <v>100000.0</v>
      </c>
      <c r="E184" s="67" t="s">
        <v>3</v>
      </c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ht="31.5" customHeight="1">
      <c r="A185" s="63">
        <v>45679.0</v>
      </c>
      <c r="B185" s="64" t="s">
        <v>50</v>
      </c>
      <c r="C185" s="65">
        <v>541.0</v>
      </c>
      <c r="D185" s="66">
        <v>40600.0</v>
      </c>
      <c r="E185" s="67" t="s">
        <v>3</v>
      </c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ht="31.5" customHeight="1">
      <c r="A186" s="63">
        <v>45679.0</v>
      </c>
      <c r="B186" s="64" t="s">
        <v>172</v>
      </c>
      <c r="C186" s="65">
        <v>464.0</v>
      </c>
      <c r="D186" s="66">
        <v>37000.0</v>
      </c>
      <c r="E186" s="67" t="s">
        <v>3</v>
      </c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 ht="31.5" customHeight="1">
      <c r="A187" s="63">
        <v>45679.0</v>
      </c>
      <c r="B187" s="64" t="s">
        <v>37</v>
      </c>
      <c r="C187" s="65"/>
      <c r="D187" s="66">
        <v>192000.0</v>
      </c>
      <c r="E187" s="67" t="s">
        <v>3</v>
      </c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 ht="31.5" customHeight="1">
      <c r="A188" s="63">
        <v>45679.0</v>
      </c>
      <c r="B188" s="64" t="s">
        <v>38</v>
      </c>
      <c r="C188" s="65"/>
      <c r="D188" s="66">
        <v>103000.0</v>
      </c>
      <c r="E188" s="67" t="s">
        <v>3</v>
      </c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ht="31.5" customHeight="1">
      <c r="A189" s="63">
        <v>45680.0</v>
      </c>
      <c r="B189" s="64" t="s">
        <v>31</v>
      </c>
      <c r="C189" s="65">
        <v>500.0</v>
      </c>
      <c r="D189" s="66">
        <v>21000.0</v>
      </c>
      <c r="E189" s="67" t="s">
        <v>3</v>
      </c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ht="31.5" customHeight="1">
      <c r="A190" s="63">
        <v>45680.0</v>
      </c>
      <c r="B190" s="64" t="s">
        <v>28</v>
      </c>
      <c r="C190" s="65">
        <v>422.0</v>
      </c>
      <c r="D190" s="66">
        <v>548610.01</v>
      </c>
      <c r="E190" s="67" t="s">
        <v>27</v>
      </c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ht="31.5" customHeight="1">
      <c r="A191" s="63">
        <v>45680.0</v>
      </c>
      <c r="B191" s="64" t="s">
        <v>93</v>
      </c>
      <c r="C191" s="65">
        <v>570.0</v>
      </c>
      <c r="D191" s="66">
        <v>128420.0</v>
      </c>
      <c r="E191" s="67" t="s">
        <v>3</v>
      </c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ht="31.5" customHeight="1">
      <c r="A192" s="63">
        <v>45680.0</v>
      </c>
      <c r="B192" s="64" t="s">
        <v>78</v>
      </c>
      <c r="C192" s="65"/>
      <c r="D192" s="66">
        <v>19500.0</v>
      </c>
      <c r="E192" s="67" t="s">
        <v>3</v>
      </c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ht="31.5" customHeight="1">
      <c r="A193" s="63">
        <v>45680.0</v>
      </c>
      <c r="B193" s="64" t="s">
        <v>48</v>
      </c>
      <c r="C193" s="65">
        <v>315.0</v>
      </c>
      <c r="D193" s="66">
        <v>252000.0</v>
      </c>
      <c r="E193" s="67" t="s">
        <v>3</v>
      </c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ht="31.5" customHeight="1">
      <c r="A194" s="63">
        <v>45680.0</v>
      </c>
      <c r="B194" s="64" t="s">
        <v>25</v>
      </c>
      <c r="C194" s="65">
        <v>618.0</v>
      </c>
      <c r="D194" s="66">
        <v>306542.0</v>
      </c>
      <c r="E194" s="67" t="s">
        <v>27</v>
      </c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ht="31.5" customHeight="1">
      <c r="A195" s="63">
        <v>45680.0</v>
      </c>
      <c r="B195" s="64" t="s">
        <v>52</v>
      </c>
      <c r="C195" s="65"/>
      <c r="D195" s="66">
        <v>28000.0</v>
      </c>
      <c r="E195" s="67" t="s">
        <v>3</v>
      </c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ht="31.5" customHeight="1">
      <c r="A196" s="63">
        <v>45680.0</v>
      </c>
      <c r="B196" s="64" t="s">
        <v>80</v>
      </c>
      <c r="C196" s="65">
        <v>512.0</v>
      </c>
      <c r="D196" s="66">
        <v>122000.0</v>
      </c>
      <c r="E196" s="67" t="s">
        <v>3</v>
      </c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ht="31.5" customHeight="1">
      <c r="A197" s="63">
        <v>45680.0</v>
      </c>
      <c r="B197" s="64" t="s">
        <v>37</v>
      </c>
      <c r="C197" s="65"/>
      <c r="D197" s="66">
        <v>133600.0</v>
      </c>
      <c r="E197" s="67" t="s">
        <v>3</v>
      </c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ht="31.5" customHeight="1">
      <c r="A198" s="63">
        <v>45680.0</v>
      </c>
      <c r="B198" s="64" t="s">
        <v>38</v>
      </c>
      <c r="C198" s="65"/>
      <c r="D198" s="66">
        <v>74700.0</v>
      </c>
      <c r="E198" s="67" t="s">
        <v>3</v>
      </c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 ht="31.5" customHeight="1">
      <c r="A199" s="63">
        <v>45681.0</v>
      </c>
      <c r="B199" s="64" t="s">
        <v>28</v>
      </c>
      <c r="C199" s="65">
        <v>437.0</v>
      </c>
      <c r="D199" s="66">
        <v>241740.0</v>
      </c>
      <c r="E199" s="67" t="s">
        <v>27</v>
      </c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 ht="31.5" customHeight="1">
      <c r="A200" s="63">
        <v>45681.0</v>
      </c>
      <c r="B200" s="64" t="s">
        <v>31</v>
      </c>
      <c r="C200" s="65">
        <v>520.0</v>
      </c>
      <c r="D200" s="66">
        <v>21000.0</v>
      </c>
      <c r="E200" s="67" t="s">
        <v>3</v>
      </c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ht="31.5" customHeight="1">
      <c r="A201" s="63">
        <v>45681.0</v>
      </c>
      <c r="B201" s="64" t="s">
        <v>50</v>
      </c>
      <c r="C201" s="65" t="s">
        <v>178</v>
      </c>
      <c r="D201" s="66">
        <v>121200.0</v>
      </c>
      <c r="E201" s="67" t="s">
        <v>3</v>
      </c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ht="31.5" customHeight="1">
      <c r="A202" s="63">
        <v>45681.0</v>
      </c>
      <c r="B202" s="64" t="s">
        <v>106</v>
      </c>
      <c r="C202" s="65">
        <v>772.0</v>
      </c>
      <c r="D202" s="66">
        <v>21600.0</v>
      </c>
      <c r="E202" s="67" t="s">
        <v>3</v>
      </c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ht="31.5" customHeight="1">
      <c r="A203" s="63">
        <v>45681.0</v>
      </c>
      <c r="B203" s="64" t="s">
        <v>47</v>
      </c>
      <c r="C203" s="65"/>
      <c r="D203" s="66">
        <v>87000.0</v>
      </c>
      <c r="E203" s="67" t="s">
        <v>3</v>
      </c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ht="31.5" customHeight="1">
      <c r="A204" s="63">
        <v>45681.0</v>
      </c>
      <c r="B204" s="64" t="s">
        <v>33</v>
      </c>
      <c r="C204" s="65">
        <v>428.0</v>
      </c>
      <c r="D204" s="66">
        <v>288454.0</v>
      </c>
      <c r="E204" s="67" t="s">
        <v>27</v>
      </c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ht="31.5" customHeight="1">
      <c r="A205" s="63">
        <v>45681.0</v>
      </c>
      <c r="B205" s="64" t="s">
        <v>91</v>
      </c>
      <c r="C205" s="65">
        <v>814.0</v>
      </c>
      <c r="D205" s="66">
        <v>200000.0</v>
      </c>
      <c r="E205" s="67" t="s">
        <v>3</v>
      </c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ht="31.5" customHeight="1">
      <c r="A206" s="63">
        <v>45681.0</v>
      </c>
      <c r="B206" s="64" t="s">
        <v>93</v>
      </c>
      <c r="C206" s="65">
        <v>679.0</v>
      </c>
      <c r="D206" s="66">
        <v>16900.0</v>
      </c>
      <c r="E206" s="67" t="s">
        <v>3</v>
      </c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ht="31.5" customHeight="1">
      <c r="A207" s="63">
        <v>45681.0</v>
      </c>
      <c r="B207" s="64" t="s">
        <v>127</v>
      </c>
      <c r="C207" s="65"/>
      <c r="D207" s="66">
        <v>16800.0</v>
      </c>
      <c r="E207" s="67" t="s">
        <v>3</v>
      </c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ht="31.5" customHeight="1">
      <c r="A208" s="63">
        <v>45681.0</v>
      </c>
      <c r="B208" s="64" t="s">
        <v>37</v>
      </c>
      <c r="C208" s="65"/>
      <c r="D208" s="66">
        <v>402500.0</v>
      </c>
      <c r="E208" s="67" t="s">
        <v>3</v>
      </c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ht="31.5" customHeight="1">
      <c r="A209" s="63">
        <v>45681.0</v>
      </c>
      <c r="B209" s="64" t="s">
        <v>38</v>
      </c>
      <c r="C209" s="65"/>
      <c r="D209" s="66">
        <v>242500.0</v>
      </c>
      <c r="E209" s="67" t="s">
        <v>3</v>
      </c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ht="31.5" customHeight="1">
      <c r="A210" s="63">
        <v>45681.0</v>
      </c>
      <c r="B210" s="64" t="s">
        <v>38</v>
      </c>
      <c r="C210" s="65" t="s">
        <v>181</v>
      </c>
      <c r="D210" s="66">
        <v>123800.0</v>
      </c>
      <c r="E210" s="67" t="s">
        <v>27</v>
      </c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ht="31.5" customHeight="1">
      <c r="A211" s="63">
        <v>45682.0</v>
      </c>
      <c r="B211" s="64" t="s">
        <v>55</v>
      </c>
      <c r="C211" s="65">
        <v>781.0</v>
      </c>
      <c r="D211" s="66">
        <v>20700.0</v>
      </c>
      <c r="E211" s="67" t="s">
        <v>3</v>
      </c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ht="31.5" customHeight="1">
      <c r="A212" s="63">
        <v>45682.0</v>
      </c>
      <c r="B212" s="64" t="s">
        <v>59</v>
      </c>
      <c r="C212" s="65">
        <v>578.0</v>
      </c>
      <c r="D212" s="66">
        <v>69150.0</v>
      </c>
      <c r="E212" s="67" t="s">
        <v>3</v>
      </c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ht="31.5" customHeight="1">
      <c r="A213" s="63">
        <v>45682.0</v>
      </c>
      <c r="B213" s="64" t="s">
        <v>91</v>
      </c>
      <c r="C213" s="65">
        <v>835.0</v>
      </c>
      <c r="D213" s="66">
        <v>54680.0</v>
      </c>
      <c r="E213" s="67" t="s">
        <v>3</v>
      </c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ht="31.5" customHeight="1">
      <c r="A214" s="63">
        <v>45682.0</v>
      </c>
      <c r="B214" s="64" t="s">
        <v>180</v>
      </c>
      <c r="C214" s="65"/>
      <c r="D214" s="66">
        <v>137672.48</v>
      </c>
      <c r="E214" s="67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ht="31.5" customHeight="1">
      <c r="A215" s="63">
        <v>45682.0</v>
      </c>
      <c r="B215" s="64" t="s">
        <v>37</v>
      </c>
      <c r="C215" s="65"/>
      <c r="D215" s="66">
        <v>401300.0</v>
      </c>
      <c r="E215" s="67" t="s">
        <v>3</v>
      </c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ht="31.5" customHeight="1">
      <c r="A216" s="63">
        <v>45684.0</v>
      </c>
      <c r="B216" s="64" t="s">
        <v>40</v>
      </c>
      <c r="C216" s="65">
        <v>395.0</v>
      </c>
      <c r="D216" s="66">
        <v>323992.55</v>
      </c>
      <c r="E216" s="67" t="s">
        <v>27</v>
      </c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ht="31.5" customHeight="1">
      <c r="A217" s="63">
        <v>45684.0</v>
      </c>
      <c r="B217" s="64" t="s">
        <v>31</v>
      </c>
      <c r="C217" s="65">
        <v>571.0</v>
      </c>
      <c r="D217" s="66">
        <v>28000.0</v>
      </c>
      <c r="E217" s="67" t="s">
        <v>3</v>
      </c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ht="31.5" customHeight="1">
      <c r="A218" s="63">
        <v>45684.0</v>
      </c>
      <c r="B218" s="64" t="s">
        <v>30</v>
      </c>
      <c r="C218" s="65"/>
      <c r="D218" s="66">
        <v>200000.0</v>
      </c>
      <c r="E218" s="67" t="s">
        <v>3</v>
      </c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ht="31.5" customHeight="1">
      <c r="A219" s="63">
        <v>45684.0</v>
      </c>
      <c r="B219" s="64" t="s">
        <v>47</v>
      </c>
      <c r="C219" s="65"/>
      <c r="D219" s="66">
        <v>58000.0</v>
      </c>
      <c r="E219" s="67" t="s">
        <v>3</v>
      </c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ht="31.5" customHeight="1">
      <c r="A220" s="63">
        <v>45684.0</v>
      </c>
      <c r="B220" s="64" t="s">
        <v>28</v>
      </c>
      <c r="C220" s="65">
        <v>478.0</v>
      </c>
      <c r="D220" s="66">
        <v>547740.0</v>
      </c>
      <c r="E220" s="67" t="s">
        <v>27</v>
      </c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ht="31.5" customHeight="1">
      <c r="A221" s="63">
        <v>45684.0</v>
      </c>
      <c r="B221" s="64" t="s">
        <v>78</v>
      </c>
      <c r="C221" s="65"/>
      <c r="D221" s="66">
        <v>20250.0</v>
      </c>
      <c r="E221" s="67" t="s">
        <v>3</v>
      </c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ht="31.5" customHeight="1">
      <c r="A222" s="63">
        <v>45684.0</v>
      </c>
      <c r="B222" s="64" t="s">
        <v>33</v>
      </c>
      <c r="C222" s="65">
        <v>576.0</v>
      </c>
      <c r="D222" s="66">
        <v>266655.81</v>
      </c>
      <c r="E222" s="67" t="s">
        <v>27</v>
      </c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ht="31.5" customHeight="1">
      <c r="A223" s="63">
        <v>45684.0</v>
      </c>
      <c r="B223" s="64" t="s">
        <v>35</v>
      </c>
      <c r="C223" s="65" t="s">
        <v>182</v>
      </c>
      <c r="D223" s="66">
        <v>49500.0</v>
      </c>
      <c r="E223" s="67" t="s">
        <v>3</v>
      </c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ht="31.5" customHeight="1">
      <c r="A224" s="63">
        <v>45684.0</v>
      </c>
      <c r="B224" s="64" t="s">
        <v>48</v>
      </c>
      <c r="C224" s="65">
        <v>325.0</v>
      </c>
      <c r="D224" s="66">
        <v>52000.0</v>
      </c>
      <c r="E224" s="67" t="s">
        <v>3</v>
      </c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ht="31.5" customHeight="1">
      <c r="A225" s="63">
        <v>45684.0</v>
      </c>
      <c r="B225" s="64" t="s">
        <v>82</v>
      </c>
      <c r="C225" s="65">
        <v>544.0</v>
      </c>
      <c r="D225" s="66">
        <v>73150.0</v>
      </c>
      <c r="E225" s="67" t="s">
        <v>3</v>
      </c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ht="31.5" customHeight="1">
      <c r="A226" s="63">
        <v>45684.0</v>
      </c>
      <c r="B226" s="64" t="s">
        <v>50</v>
      </c>
      <c r="C226" s="65">
        <v>932.0</v>
      </c>
      <c r="D226" s="66">
        <v>50900.0</v>
      </c>
      <c r="E226" s="67" t="s">
        <v>3</v>
      </c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ht="31.5" customHeight="1">
      <c r="A227" s="63">
        <v>45684.0</v>
      </c>
      <c r="B227" s="64" t="s">
        <v>37</v>
      </c>
      <c r="C227" s="65"/>
      <c r="D227" s="66">
        <v>234600.0</v>
      </c>
      <c r="E227" s="67" t="s">
        <v>3</v>
      </c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ht="31.5" customHeight="1">
      <c r="A228" s="63">
        <v>45684.0</v>
      </c>
      <c r="B228" s="64" t="s">
        <v>38</v>
      </c>
      <c r="C228" s="65"/>
      <c r="D228" s="66">
        <v>74900.0</v>
      </c>
      <c r="E228" s="67" t="s">
        <v>3</v>
      </c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ht="31.5" customHeight="1">
      <c r="A229" s="63">
        <v>45685.0</v>
      </c>
      <c r="B229" s="64" t="s">
        <v>31</v>
      </c>
      <c r="C229" s="65">
        <v>589.0</v>
      </c>
      <c r="D229" s="66">
        <v>28000.0</v>
      </c>
      <c r="E229" s="67" t="s">
        <v>3</v>
      </c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ht="31.5" customHeight="1">
      <c r="A230" s="63">
        <v>45685.0</v>
      </c>
      <c r="B230" s="64" t="s">
        <v>25</v>
      </c>
      <c r="C230" s="65">
        <v>469.0</v>
      </c>
      <c r="D230" s="66">
        <v>273265.0</v>
      </c>
      <c r="E230" s="67" t="s">
        <v>27</v>
      </c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ht="31.5" customHeight="1">
      <c r="A231" s="63">
        <v>45685.0</v>
      </c>
      <c r="B231" s="64" t="s">
        <v>180</v>
      </c>
      <c r="C231" s="65"/>
      <c r="D231" s="66">
        <v>200000.0</v>
      </c>
      <c r="E231" s="67" t="s">
        <v>3</v>
      </c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ht="31.5" customHeight="1">
      <c r="A232" s="63">
        <v>45685.0</v>
      </c>
      <c r="B232" s="64" t="s">
        <v>59</v>
      </c>
      <c r="C232" s="65" t="s">
        <v>183</v>
      </c>
      <c r="D232" s="66">
        <v>132000.0</v>
      </c>
      <c r="E232" s="67" t="s">
        <v>3</v>
      </c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ht="31.5" customHeight="1">
      <c r="A233" s="63">
        <v>45685.0</v>
      </c>
      <c r="B233" s="64" t="s">
        <v>125</v>
      </c>
      <c r="C233" s="65">
        <v>242.0</v>
      </c>
      <c r="D233" s="66">
        <v>42000.0</v>
      </c>
      <c r="E233" s="67" t="s">
        <v>3</v>
      </c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ht="31.5" customHeight="1">
      <c r="A234" s="63">
        <v>45685.0</v>
      </c>
      <c r="B234" s="64" t="s">
        <v>52</v>
      </c>
      <c r="C234" s="65"/>
      <c r="D234" s="66">
        <v>45500.0</v>
      </c>
      <c r="E234" s="67" t="s">
        <v>3</v>
      </c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ht="31.5" customHeight="1">
      <c r="A235" s="63">
        <v>45685.0</v>
      </c>
      <c r="B235" s="64" t="s">
        <v>37</v>
      </c>
      <c r="C235" s="65"/>
      <c r="D235" s="66">
        <v>301600.0</v>
      </c>
      <c r="E235" s="67" t="s">
        <v>3</v>
      </c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ht="31.5" customHeight="1">
      <c r="A236" s="63">
        <v>45685.0</v>
      </c>
      <c r="B236" s="64" t="s">
        <v>35</v>
      </c>
      <c r="C236" s="65" t="s">
        <v>184</v>
      </c>
      <c r="D236" s="66">
        <v>4600.0</v>
      </c>
      <c r="E236" s="67" t="s">
        <v>3</v>
      </c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ht="31.5" customHeight="1">
      <c r="A237" s="63">
        <v>45685.0</v>
      </c>
      <c r="B237" s="64" t="s">
        <v>38</v>
      </c>
      <c r="C237" s="65"/>
      <c r="D237" s="66">
        <v>77000.0</v>
      </c>
      <c r="E237" s="67" t="s">
        <v>3</v>
      </c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ht="31.5" customHeight="1">
      <c r="A238" s="63">
        <v>45686.0</v>
      </c>
      <c r="B238" s="64" t="s">
        <v>40</v>
      </c>
      <c r="C238" s="65">
        <v>490.0</v>
      </c>
      <c r="D238" s="66">
        <v>234017.2</v>
      </c>
      <c r="E238" s="67" t="s">
        <v>27</v>
      </c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ht="31.5" customHeight="1">
      <c r="A239" s="63">
        <v>45686.0</v>
      </c>
      <c r="B239" s="64" t="s">
        <v>50</v>
      </c>
      <c r="C239" s="65">
        <v>83.0</v>
      </c>
      <c r="D239" s="66">
        <v>40600.0</v>
      </c>
      <c r="E239" s="67" t="s">
        <v>3</v>
      </c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ht="31.5" customHeight="1">
      <c r="A240" s="63">
        <v>45686.0</v>
      </c>
      <c r="B240" s="64" t="s">
        <v>30</v>
      </c>
      <c r="C240" s="65"/>
      <c r="D240" s="66">
        <v>300000.0</v>
      </c>
      <c r="E240" s="67" t="s">
        <v>3</v>
      </c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ht="31.5" customHeight="1">
      <c r="A241" s="63">
        <v>45686.0</v>
      </c>
      <c r="B241" s="64" t="s">
        <v>28</v>
      </c>
      <c r="C241" s="65">
        <v>512.0</v>
      </c>
      <c r="D241" s="66">
        <v>492819.02</v>
      </c>
      <c r="E241" s="67" t="s">
        <v>27</v>
      </c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ht="31.5" customHeight="1">
      <c r="A242" s="63">
        <v>45686.0</v>
      </c>
      <c r="B242" s="64" t="s">
        <v>47</v>
      </c>
      <c r="C242" s="65"/>
      <c r="D242" s="66">
        <v>87000.0</v>
      </c>
      <c r="E242" s="67" t="s">
        <v>3</v>
      </c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ht="31.5" customHeight="1">
      <c r="A243" s="63">
        <v>45686.0</v>
      </c>
      <c r="B243" s="64" t="s">
        <v>31</v>
      </c>
      <c r="C243" s="65">
        <v>609.0</v>
      </c>
      <c r="D243" s="66">
        <v>21000.0</v>
      </c>
      <c r="E243" s="67" t="s">
        <v>3</v>
      </c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ht="31.5" customHeight="1">
      <c r="A244" s="63">
        <v>45686.0</v>
      </c>
      <c r="B244" s="64" t="s">
        <v>33</v>
      </c>
      <c r="C244" s="65">
        <v>759.0</v>
      </c>
      <c r="D244" s="66">
        <v>269422.84</v>
      </c>
      <c r="E244" s="67" t="s">
        <v>27</v>
      </c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ht="31.5" customHeight="1">
      <c r="A245" s="63">
        <v>45686.0</v>
      </c>
      <c r="B245" s="64" t="s">
        <v>71</v>
      </c>
      <c r="C245" s="65"/>
      <c r="D245" s="66">
        <v>17300.0</v>
      </c>
      <c r="E245" s="67" t="s">
        <v>3</v>
      </c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ht="31.5" customHeight="1">
      <c r="A246" s="63">
        <v>45686.0</v>
      </c>
      <c r="B246" s="64" t="s">
        <v>48</v>
      </c>
      <c r="C246" s="65">
        <v>332.0</v>
      </c>
      <c r="D246" s="66">
        <v>252000.0</v>
      </c>
      <c r="E246" s="67" t="s">
        <v>3</v>
      </c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ht="31.5" customHeight="1">
      <c r="A247" s="63">
        <v>45686.0</v>
      </c>
      <c r="B247" s="64" t="s">
        <v>42</v>
      </c>
      <c r="C247" s="65">
        <v>320.0</v>
      </c>
      <c r="D247" s="66">
        <v>145900.0</v>
      </c>
      <c r="E247" s="67" t="s">
        <v>3</v>
      </c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ht="31.5" customHeight="1">
      <c r="A248" s="63">
        <v>45686.0</v>
      </c>
      <c r="B248" s="64" t="s">
        <v>37</v>
      </c>
      <c r="C248" s="65"/>
      <c r="D248" s="66">
        <v>92000.0</v>
      </c>
      <c r="E248" s="67" t="s">
        <v>3</v>
      </c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ht="31.5" customHeight="1">
      <c r="A249" s="63">
        <v>45686.0</v>
      </c>
      <c r="B249" s="64" t="s">
        <v>38</v>
      </c>
      <c r="C249" s="65"/>
      <c r="D249" s="66">
        <v>74700.0</v>
      </c>
      <c r="E249" s="67" t="s">
        <v>3</v>
      </c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ht="31.5" customHeight="1">
      <c r="A250" s="63">
        <v>45687.0</v>
      </c>
      <c r="B250" s="64" t="s">
        <v>31</v>
      </c>
      <c r="C250" s="65">
        <v>625.0</v>
      </c>
      <c r="D250" s="66">
        <v>14000.0</v>
      </c>
      <c r="E250" s="67" t="s">
        <v>3</v>
      </c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ht="31.5" customHeight="1">
      <c r="A251" s="63">
        <v>45687.0</v>
      </c>
      <c r="B251" s="64" t="s">
        <v>28</v>
      </c>
      <c r="C251" s="65">
        <v>525.0</v>
      </c>
      <c r="D251" s="66">
        <v>426990.01</v>
      </c>
      <c r="E251" s="67" t="s">
        <v>27</v>
      </c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ht="31.5" customHeight="1">
      <c r="A252" s="63">
        <v>45687.0</v>
      </c>
      <c r="B252" s="64" t="s">
        <v>68</v>
      </c>
      <c r="C252" s="65">
        <v>132.0</v>
      </c>
      <c r="D252" s="66">
        <v>59800.0</v>
      </c>
      <c r="E252" s="67" t="s">
        <v>3</v>
      </c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ht="31.5" customHeight="1">
      <c r="A253" s="63">
        <v>45687.0</v>
      </c>
      <c r="B253" s="64" t="s">
        <v>106</v>
      </c>
      <c r="C253" s="65">
        <v>951.0</v>
      </c>
      <c r="D253" s="66">
        <v>25920.0</v>
      </c>
      <c r="E253" s="67" t="s">
        <v>3</v>
      </c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ht="31.5" customHeight="1">
      <c r="A254" s="63">
        <v>45687.0</v>
      </c>
      <c r="B254" s="64" t="s">
        <v>78</v>
      </c>
      <c r="C254" s="65"/>
      <c r="D254" s="66">
        <v>20250.0</v>
      </c>
      <c r="E254" s="67" t="s">
        <v>3</v>
      </c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ht="31.5" customHeight="1">
      <c r="A255" s="63">
        <v>45687.0</v>
      </c>
      <c r="B255" s="64" t="s">
        <v>59</v>
      </c>
      <c r="C255" s="65" t="s">
        <v>185</v>
      </c>
      <c r="D255" s="66">
        <v>142150.0</v>
      </c>
      <c r="E255" s="67" t="s">
        <v>3</v>
      </c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ht="31.5" customHeight="1">
      <c r="A256" s="63">
        <v>45687.0</v>
      </c>
      <c r="B256" s="64" t="s">
        <v>50</v>
      </c>
      <c r="C256" s="65" t="s">
        <v>186</v>
      </c>
      <c r="D256" s="66">
        <v>29100.0</v>
      </c>
      <c r="E256" s="67" t="s">
        <v>3</v>
      </c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ht="31.5" customHeight="1">
      <c r="A257" s="63">
        <v>45687.0</v>
      </c>
      <c r="B257" s="64" t="s">
        <v>96</v>
      </c>
      <c r="C257" s="65">
        <v>935.0</v>
      </c>
      <c r="D257" s="66">
        <v>5400.0</v>
      </c>
      <c r="E257" s="67" t="s">
        <v>3</v>
      </c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ht="31.5" customHeight="1">
      <c r="A258" s="63">
        <v>45687.0</v>
      </c>
      <c r="B258" s="64" t="s">
        <v>80</v>
      </c>
      <c r="C258" s="65">
        <v>571.0</v>
      </c>
      <c r="D258" s="66">
        <v>122000.0</v>
      </c>
      <c r="E258" s="67" t="s">
        <v>3</v>
      </c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ht="31.5" customHeight="1">
      <c r="A259" s="63">
        <v>45687.0</v>
      </c>
      <c r="B259" s="64" t="s">
        <v>82</v>
      </c>
      <c r="C259" s="65">
        <v>796.0</v>
      </c>
      <c r="D259" s="66">
        <v>102140.0</v>
      </c>
      <c r="E259" s="67" t="s">
        <v>3</v>
      </c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ht="31.5" customHeight="1">
      <c r="A260" s="63">
        <v>45687.0</v>
      </c>
      <c r="B260" s="64" t="s">
        <v>25</v>
      </c>
      <c r="C260" s="65">
        <v>408.0</v>
      </c>
      <c r="D260" s="66">
        <v>420699.0</v>
      </c>
      <c r="E260" s="67" t="s">
        <v>27</v>
      </c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ht="31.5" customHeight="1">
      <c r="A261" s="63">
        <v>45687.0</v>
      </c>
      <c r="B261" s="64" t="s">
        <v>37</v>
      </c>
      <c r="C261" s="65"/>
      <c r="D261" s="66">
        <v>158900.0</v>
      </c>
      <c r="E261" s="67" t="s">
        <v>3</v>
      </c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ht="31.5" customHeight="1">
      <c r="A262" s="63">
        <v>45687.0</v>
      </c>
      <c r="B262" s="64" t="s">
        <v>38</v>
      </c>
      <c r="C262" s="65"/>
      <c r="D262" s="66">
        <v>77000.0</v>
      </c>
      <c r="E262" s="67" t="s">
        <v>3</v>
      </c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ht="31.5" customHeight="1">
      <c r="A263" s="63">
        <v>45688.0</v>
      </c>
      <c r="B263" s="64" t="s">
        <v>40</v>
      </c>
      <c r="C263" s="65">
        <v>576.0</v>
      </c>
      <c r="D263" s="66">
        <v>314007.7</v>
      </c>
      <c r="E263" s="67" t="s">
        <v>27</v>
      </c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ht="31.5" customHeight="1">
      <c r="A264" s="63">
        <v>45688.0</v>
      </c>
      <c r="B264" s="64" t="s">
        <v>30</v>
      </c>
      <c r="C264" s="65"/>
      <c r="D264" s="66">
        <v>100000.0</v>
      </c>
      <c r="E264" s="67" t="s">
        <v>3</v>
      </c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ht="31.5" customHeight="1">
      <c r="A265" s="63">
        <v>45688.0</v>
      </c>
      <c r="B265" s="64" t="s">
        <v>47</v>
      </c>
      <c r="C265" s="65"/>
      <c r="D265" s="66">
        <v>87000.0</v>
      </c>
      <c r="E265" s="67" t="s">
        <v>3</v>
      </c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ht="31.5" customHeight="1">
      <c r="A266" s="63">
        <v>45688.0</v>
      </c>
      <c r="B266" s="64" t="s">
        <v>31</v>
      </c>
      <c r="C266" s="65">
        <v>558.0</v>
      </c>
      <c r="D266" s="66">
        <v>14000.0</v>
      </c>
      <c r="E266" s="67" t="s">
        <v>3</v>
      </c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ht="31.5" customHeight="1">
      <c r="A267" s="63">
        <v>45688.0</v>
      </c>
      <c r="B267" s="64" t="s">
        <v>50</v>
      </c>
      <c r="C267" s="65">
        <v>229.0</v>
      </c>
      <c r="D267" s="66">
        <v>50900.0</v>
      </c>
      <c r="E267" s="67" t="s">
        <v>3</v>
      </c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ht="31.5" customHeight="1">
      <c r="A268" s="63">
        <v>45688.0</v>
      </c>
      <c r="B268" s="64" t="s">
        <v>28</v>
      </c>
      <c r="C268" s="65">
        <v>546.0</v>
      </c>
      <c r="D268" s="66">
        <v>490289.98</v>
      </c>
      <c r="E268" s="67" t="s">
        <v>27</v>
      </c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ht="31.5" customHeight="1">
      <c r="A269" s="63">
        <v>45688.0</v>
      </c>
      <c r="B269" s="64" t="s">
        <v>55</v>
      </c>
      <c r="C269" s="65">
        <v>24.0</v>
      </c>
      <c r="D269" s="66">
        <v>84300.0</v>
      </c>
      <c r="E269" s="67" t="s">
        <v>3</v>
      </c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ht="31.5" customHeight="1">
      <c r="A270" s="63">
        <v>45688.0</v>
      </c>
      <c r="B270" s="64" t="s">
        <v>33</v>
      </c>
      <c r="C270" s="65">
        <v>890.0</v>
      </c>
      <c r="D270" s="66">
        <v>188208.18</v>
      </c>
      <c r="E270" s="67" t="s">
        <v>27</v>
      </c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ht="31.5" customHeight="1">
      <c r="A271" s="63">
        <v>45688.0</v>
      </c>
      <c r="B271" s="64" t="s">
        <v>37</v>
      </c>
      <c r="C271" s="65"/>
      <c r="D271" s="66">
        <v>379400.0</v>
      </c>
      <c r="E271" s="67" t="s">
        <v>3</v>
      </c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ht="31.5" customHeight="1">
      <c r="A272" s="63">
        <v>45688.0</v>
      </c>
      <c r="B272" s="64" t="s">
        <v>38</v>
      </c>
      <c r="C272" s="65"/>
      <c r="D272" s="66"/>
      <c r="E272" s="67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ht="31.5" customHeight="1">
      <c r="A273" s="63"/>
      <c r="B273" s="64"/>
      <c r="C273" s="65"/>
      <c r="D273" s="66"/>
      <c r="E273" s="67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>
      <c r="A274" s="62"/>
      <c r="B274" s="62"/>
      <c r="C274" s="68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>
      <c r="A275" s="62"/>
      <c r="B275" s="62"/>
      <c r="C275" s="68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>
      <c r="A276" s="62"/>
      <c r="B276" s="62"/>
      <c r="C276" s="68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>
      <c r="A277" s="62"/>
      <c r="B277" s="62"/>
      <c r="C277" s="68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>
      <c r="A278" s="62"/>
      <c r="B278" s="62"/>
      <c r="C278" s="68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>
      <c r="A279" s="62"/>
      <c r="B279" s="62"/>
      <c r="C279" s="68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>
      <c r="A280" s="62"/>
      <c r="B280" s="62"/>
      <c r="C280" s="68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>
      <c r="A281" s="62"/>
      <c r="B281" s="62"/>
      <c r="C281" s="68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>
      <c r="A282" s="62"/>
      <c r="B282" s="62"/>
      <c r="C282" s="68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>
      <c r="A283" s="62"/>
      <c r="B283" s="62"/>
      <c r="C283" s="68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>
      <c r="A284" s="62"/>
      <c r="B284" s="62"/>
      <c r="C284" s="68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>
      <c r="A285" s="62"/>
      <c r="B285" s="62"/>
      <c r="C285" s="68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>
      <c r="A286" s="62"/>
      <c r="B286" s="62"/>
      <c r="C286" s="68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>
      <c r="A287" s="62"/>
      <c r="B287" s="62"/>
      <c r="C287" s="68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>
      <c r="A288" s="62"/>
      <c r="B288" s="62"/>
      <c r="C288" s="68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>
      <c r="A289" s="62"/>
      <c r="B289" s="62"/>
      <c r="C289" s="68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>
      <c r="A290" s="62"/>
      <c r="B290" s="62"/>
      <c r="C290" s="68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>
      <c r="A291" s="62"/>
      <c r="B291" s="62"/>
      <c r="C291" s="68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>
      <c r="A292" s="62"/>
      <c r="B292" s="62"/>
      <c r="C292" s="68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>
      <c r="A293" s="62"/>
      <c r="B293" s="62"/>
      <c r="C293" s="68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>
      <c r="A294" s="62"/>
      <c r="B294" s="62"/>
      <c r="C294" s="68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>
      <c r="A295" s="62"/>
      <c r="B295" s="62"/>
      <c r="C295" s="68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>
      <c r="A296" s="62"/>
      <c r="B296" s="62"/>
      <c r="C296" s="68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>
      <c r="A297" s="62"/>
      <c r="B297" s="62"/>
      <c r="C297" s="68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>
      <c r="A298" s="62"/>
      <c r="B298" s="62"/>
      <c r="C298" s="68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>
      <c r="A299" s="62"/>
      <c r="B299" s="62"/>
      <c r="C299" s="68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>
      <c r="A300" s="62"/>
      <c r="B300" s="62"/>
      <c r="C300" s="68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>
      <c r="A301" s="62"/>
      <c r="B301" s="62"/>
      <c r="C301" s="68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>
      <c r="A302" s="62"/>
      <c r="B302" s="62"/>
      <c r="C302" s="68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>
      <c r="A303" s="62"/>
      <c r="B303" s="62"/>
      <c r="C303" s="68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>
      <c r="A304" s="62"/>
      <c r="B304" s="62"/>
      <c r="C304" s="68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>
      <c r="A305" s="62"/>
      <c r="B305" s="62"/>
      <c r="C305" s="68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>
      <c r="A306" s="62"/>
      <c r="B306" s="62"/>
      <c r="C306" s="68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>
      <c r="A307" s="62"/>
      <c r="B307" s="62"/>
      <c r="C307" s="68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>
      <c r="A308" s="62"/>
      <c r="B308" s="62"/>
      <c r="C308" s="68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>
      <c r="A309" s="62"/>
      <c r="B309" s="62"/>
      <c r="C309" s="68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>
      <c r="A310" s="62"/>
      <c r="B310" s="62"/>
      <c r="C310" s="68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>
      <c r="A311" s="62"/>
      <c r="B311" s="62"/>
      <c r="C311" s="68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>
      <c r="A312" s="62"/>
      <c r="B312" s="62"/>
      <c r="C312" s="68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>
      <c r="A313" s="62"/>
      <c r="B313" s="62"/>
      <c r="C313" s="68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>
      <c r="A314" s="62"/>
      <c r="B314" s="62"/>
      <c r="C314" s="68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>
      <c r="A315" s="62"/>
      <c r="B315" s="62"/>
      <c r="C315" s="68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>
      <c r="A316" s="62"/>
      <c r="B316" s="62"/>
      <c r="C316" s="68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>
      <c r="A317" s="62"/>
      <c r="B317" s="62"/>
      <c r="C317" s="68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>
      <c r="A318" s="62"/>
      <c r="B318" s="62"/>
      <c r="C318" s="68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>
      <c r="A319" s="62"/>
      <c r="B319" s="62"/>
      <c r="C319" s="68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>
      <c r="A320" s="62"/>
      <c r="B320" s="62"/>
      <c r="C320" s="68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>
      <c r="A321" s="62"/>
      <c r="B321" s="62"/>
      <c r="C321" s="68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>
      <c r="A322" s="62"/>
      <c r="B322" s="62"/>
      <c r="C322" s="68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>
      <c r="A323" s="62"/>
      <c r="B323" s="62"/>
      <c r="C323" s="68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>
      <c r="A324" s="62"/>
      <c r="B324" s="62"/>
      <c r="C324" s="68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>
      <c r="A325" s="62"/>
      <c r="B325" s="62"/>
      <c r="C325" s="68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>
      <c r="A326" s="62"/>
      <c r="B326" s="62"/>
      <c r="C326" s="68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>
      <c r="A327" s="62"/>
      <c r="B327" s="62"/>
      <c r="C327" s="68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>
      <c r="A328" s="62"/>
      <c r="B328" s="62"/>
      <c r="C328" s="68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>
      <c r="A329" s="62"/>
      <c r="B329" s="62"/>
      <c r="C329" s="68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>
      <c r="A330" s="62"/>
      <c r="B330" s="62"/>
      <c r="C330" s="68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>
      <c r="A331" s="62"/>
      <c r="B331" s="62"/>
      <c r="C331" s="68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>
      <c r="A332" s="62"/>
      <c r="B332" s="62"/>
      <c r="C332" s="68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>
      <c r="A333" s="62"/>
      <c r="B333" s="62"/>
      <c r="C333" s="68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>
      <c r="A334" s="62"/>
      <c r="B334" s="62"/>
      <c r="C334" s="68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>
      <c r="A335" s="62"/>
      <c r="B335" s="62"/>
      <c r="C335" s="68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>
      <c r="A336" s="62"/>
      <c r="B336" s="62"/>
      <c r="C336" s="68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>
      <c r="A337" s="62"/>
      <c r="B337" s="62"/>
      <c r="C337" s="68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>
      <c r="A338" s="62"/>
      <c r="B338" s="62"/>
      <c r="C338" s="68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>
      <c r="A339" s="62"/>
      <c r="B339" s="62"/>
      <c r="C339" s="68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>
      <c r="A340" s="62"/>
      <c r="B340" s="62"/>
      <c r="C340" s="68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>
      <c r="A341" s="62"/>
      <c r="B341" s="62"/>
      <c r="C341" s="68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>
      <c r="A342" s="62"/>
      <c r="B342" s="62"/>
      <c r="C342" s="68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>
      <c r="A343" s="62"/>
      <c r="B343" s="62"/>
      <c r="C343" s="68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>
      <c r="A344" s="62"/>
      <c r="B344" s="62"/>
      <c r="C344" s="68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>
      <c r="A345" s="62"/>
      <c r="B345" s="62"/>
      <c r="C345" s="68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>
      <c r="A346" s="62"/>
      <c r="B346" s="62"/>
      <c r="C346" s="68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>
      <c r="A347" s="62"/>
      <c r="B347" s="62"/>
      <c r="C347" s="68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>
      <c r="A348" s="62"/>
      <c r="B348" s="62"/>
      <c r="C348" s="68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>
      <c r="A349" s="62"/>
      <c r="B349" s="62"/>
      <c r="C349" s="68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>
      <c r="A350" s="62"/>
      <c r="B350" s="62"/>
      <c r="C350" s="68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>
      <c r="A351" s="62"/>
      <c r="B351" s="62"/>
      <c r="C351" s="68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>
      <c r="A352" s="62"/>
      <c r="B352" s="62"/>
      <c r="C352" s="68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>
      <c r="A353" s="62"/>
      <c r="B353" s="62"/>
      <c r="C353" s="68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>
      <c r="A354" s="62"/>
      <c r="B354" s="62"/>
      <c r="C354" s="68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>
      <c r="A355" s="62"/>
      <c r="B355" s="62"/>
      <c r="C355" s="68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>
      <c r="A356" s="62"/>
      <c r="B356" s="62"/>
      <c r="C356" s="68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>
      <c r="A357" s="62"/>
      <c r="B357" s="62"/>
      <c r="C357" s="68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>
      <c r="A358" s="62"/>
      <c r="B358" s="62"/>
      <c r="C358" s="68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>
      <c r="A359" s="62"/>
      <c r="B359" s="62"/>
      <c r="C359" s="68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>
      <c r="A360" s="62"/>
      <c r="B360" s="62"/>
      <c r="C360" s="68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>
      <c r="A361" s="62"/>
      <c r="B361" s="62"/>
      <c r="C361" s="68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>
      <c r="A362" s="62"/>
      <c r="B362" s="62"/>
      <c r="C362" s="68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>
      <c r="A363" s="62"/>
      <c r="B363" s="62"/>
      <c r="C363" s="68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>
      <c r="A364" s="62"/>
      <c r="B364" s="62"/>
      <c r="C364" s="68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>
      <c r="A365" s="62"/>
      <c r="B365" s="62"/>
      <c r="C365" s="68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>
      <c r="A366" s="62"/>
      <c r="B366" s="62"/>
      <c r="C366" s="68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>
      <c r="A367" s="62"/>
      <c r="B367" s="62"/>
      <c r="C367" s="68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>
      <c r="A368" s="62"/>
      <c r="B368" s="62"/>
      <c r="C368" s="68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>
      <c r="A369" s="62"/>
      <c r="B369" s="62"/>
      <c r="C369" s="68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>
      <c r="A370" s="62"/>
      <c r="B370" s="62"/>
      <c r="C370" s="68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>
      <c r="A371" s="62"/>
      <c r="B371" s="62"/>
      <c r="C371" s="68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>
      <c r="A372" s="62"/>
      <c r="B372" s="62"/>
      <c r="C372" s="68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>
      <c r="A373" s="62"/>
      <c r="B373" s="62"/>
      <c r="C373" s="68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>
      <c r="A374" s="62"/>
      <c r="B374" s="62"/>
      <c r="C374" s="68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>
      <c r="A375" s="62"/>
      <c r="B375" s="62"/>
      <c r="C375" s="68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>
      <c r="A376" s="62"/>
      <c r="B376" s="62"/>
      <c r="C376" s="68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>
      <c r="A377" s="62"/>
      <c r="B377" s="62"/>
      <c r="C377" s="68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>
      <c r="A378" s="62"/>
      <c r="B378" s="62"/>
      <c r="C378" s="68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>
      <c r="A379" s="62"/>
      <c r="B379" s="62"/>
      <c r="C379" s="68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>
      <c r="A380" s="62"/>
      <c r="B380" s="62"/>
      <c r="C380" s="68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>
      <c r="A381" s="62"/>
      <c r="B381" s="62"/>
      <c r="C381" s="68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>
      <c r="A382" s="62"/>
      <c r="B382" s="62"/>
      <c r="C382" s="68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>
      <c r="A383" s="62"/>
      <c r="B383" s="62"/>
      <c r="C383" s="68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>
      <c r="A384" s="62"/>
      <c r="B384" s="62"/>
      <c r="C384" s="68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>
      <c r="A385" s="62"/>
      <c r="B385" s="62"/>
      <c r="C385" s="68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>
      <c r="A386" s="62"/>
      <c r="B386" s="62"/>
      <c r="C386" s="68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>
      <c r="A387" s="62"/>
      <c r="B387" s="62"/>
      <c r="C387" s="68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>
      <c r="A388" s="62"/>
      <c r="B388" s="62"/>
      <c r="C388" s="68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>
      <c r="A389" s="62"/>
      <c r="B389" s="62"/>
      <c r="C389" s="68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>
      <c r="A390" s="62"/>
      <c r="B390" s="62"/>
      <c r="C390" s="68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>
      <c r="A391" s="62"/>
      <c r="B391" s="62"/>
      <c r="C391" s="68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>
      <c r="A392" s="62"/>
      <c r="B392" s="62"/>
      <c r="C392" s="68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>
      <c r="A393" s="62"/>
      <c r="B393" s="62"/>
      <c r="C393" s="68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>
      <c r="A394" s="62"/>
      <c r="B394" s="62"/>
      <c r="C394" s="68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>
      <c r="A395" s="62"/>
      <c r="B395" s="62"/>
      <c r="C395" s="68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>
      <c r="A396" s="62"/>
      <c r="B396" s="62"/>
      <c r="C396" s="68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>
      <c r="A397" s="62"/>
      <c r="B397" s="62"/>
      <c r="C397" s="68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>
      <c r="A398" s="62"/>
      <c r="B398" s="62"/>
      <c r="C398" s="68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>
      <c r="A399" s="62"/>
      <c r="B399" s="62"/>
      <c r="C399" s="68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>
      <c r="A400" s="62"/>
      <c r="B400" s="62"/>
      <c r="C400" s="68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>
      <c r="A401" s="62"/>
      <c r="B401" s="62"/>
      <c r="C401" s="68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>
      <c r="A402" s="62"/>
      <c r="B402" s="62"/>
      <c r="C402" s="68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>
      <c r="A403" s="62"/>
      <c r="B403" s="62"/>
      <c r="C403" s="68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>
      <c r="A404" s="62"/>
      <c r="B404" s="62"/>
      <c r="C404" s="68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>
      <c r="A405" s="62"/>
      <c r="B405" s="62"/>
      <c r="C405" s="68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>
      <c r="A406" s="62"/>
      <c r="B406" s="62"/>
      <c r="C406" s="68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>
      <c r="A407" s="62"/>
      <c r="B407" s="62"/>
      <c r="C407" s="68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>
      <c r="A408" s="62"/>
      <c r="B408" s="62"/>
      <c r="C408" s="68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>
      <c r="A409" s="62"/>
      <c r="B409" s="62"/>
      <c r="C409" s="68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>
      <c r="A410" s="62"/>
      <c r="B410" s="62"/>
      <c r="C410" s="68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>
      <c r="A411" s="62"/>
      <c r="B411" s="62"/>
      <c r="C411" s="68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>
      <c r="A412" s="62"/>
      <c r="B412" s="62"/>
      <c r="C412" s="68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>
      <c r="A413" s="62"/>
      <c r="B413" s="62"/>
      <c r="C413" s="68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>
      <c r="A414" s="62"/>
      <c r="B414" s="62"/>
      <c r="C414" s="68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>
      <c r="A415" s="62"/>
      <c r="B415" s="62"/>
      <c r="C415" s="68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>
      <c r="A416" s="62"/>
      <c r="B416" s="62"/>
      <c r="C416" s="68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>
      <c r="A417" s="62"/>
      <c r="B417" s="62"/>
      <c r="C417" s="68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>
      <c r="A418" s="62"/>
      <c r="B418" s="62"/>
      <c r="C418" s="68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>
      <c r="A419" s="62"/>
      <c r="B419" s="62"/>
      <c r="C419" s="68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>
      <c r="A420" s="62"/>
      <c r="B420" s="62"/>
      <c r="C420" s="68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>
      <c r="A421" s="62"/>
      <c r="B421" s="62"/>
      <c r="C421" s="68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>
      <c r="A422" s="62"/>
      <c r="B422" s="62"/>
      <c r="C422" s="68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>
      <c r="A423" s="62"/>
      <c r="B423" s="62"/>
      <c r="C423" s="68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>
      <c r="A424" s="62"/>
      <c r="B424" s="62"/>
      <c r="C424" s="68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>
      <c r="A425" s="62"/>
      <c r="B425" s="62"/>
      <c r="C425" s="68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>
      <c r="A426" s="62"/>
      <c r="B426" s="62"/>
      <c r="C426" s="68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>
      <c r="A427" s="62"/>
      <c r="B427" s="62"/>
      <c r="C427" s="68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>
      <c r="A428" s="62"/>
      <c r="B428" s="62"/>
      <c r="C428" s="68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>
      <c r="A429" s="62"/>
      <c r="B429" s="62"/>
      <c r="C429" s="68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>
      <c r="A430" s="62"/>
      <c r="B430" s="62"/>
      <c r="C430" s="68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>
      <c r="A431" s="62"/>
      <c r="B431" s="62"/>
      <c r="C431" s="68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>
      <c r="A432" s="62"/>
      <c r="B432" s="62"/>
      <c r="C432" s="68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>
      <c r="A433" s="62"/>
      <c r="B433" s="62"/>
      <c r="C433" s="68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>
      <c r="A434" s="62"/>
      <c r="B434" s="62"/>
      <c r="C434" s="68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>
      <c r="A435" s="62"/>
      <c r="B435" s="62"/>
      <c r="C435" s="68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>
      <c r="A436" s="62"/>
      <c r="B436" s="62"/>
      <c r="C436" s="68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>
      <c r="A437" s="62"/>
      <c r="B437" s="62"/>
      <c r="C437" s="68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>
      <c r="A438" s="62"/>
      <c r="B438" s="62"/>
      <c r="C438" s="68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>
      <c r="A439" s="62"/>
      <c r="B439" s="62"/>
      <c r="C439" s="68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>
      <c r="A440" s="62"/>
      <c r="B440" s="62"/>
      <c r="C440" s="68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>
      <c r="A441" s="62"/>
      <c r="B441" s="62"/>
      <c r="C441" s="68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>
      <c r="A442" s="62"/>
      <c r="B442" s="62"/>
      <c r="C442" s="68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>
      <c r="A443" s="62"/>
      <c r="B443" s="62"/>
      <c r="C443" s="68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>
      <c r="A444" s="62"/>
      <c r="B444" s="62"/>
      <c r="C444" s="68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>
      <c r="A445" s="62"/>
      <c r="B445" s="62"/>
      <c r="C445" s="68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>
      <c r="A446" s="62"/>
      <c r="B446" s="62"/>
      <c r="C446" s="68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>
      <c r="A447" s="62"/>
      <c r="B447" s="62"/>
      <c r="C447" s="68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>
      <c r="A448" s="62"/>
      <c r="B448" s="62"/>
      <c r="C448" s="68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>
      <c r="A449" s="62"/>
      <c r="B449" s="62"/>
      <c r="C449" s="68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>
      <c r="A450" s="62"/>
      <c r="B450" s="62"/>
      <c r="C450" s="68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>
      <c r="A451" s="62"/>
      <c r="B451" s="62"/>
      <c r="C451" s="68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>
      <c r="A452" s="62"/>
      <c r="B452" s="62"/>
      <c r="C452" s="68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>
      <c r="A453" s="62"/>
      <c r="B453" s="62"/>
      <c r="C453" s="68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>
      <c r="A454" s="62"/>
      <c r="B454" s="62"/>
      <c r="C454" s="68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>
      <c r="A455" s="62"/>
      <c r="B455" s="62"/>
      <c r="C455" s="68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>
      <c r="A456" s="62"/>
      <c r="B456" s="62"/>
      <c r="C456" s="68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>
      <c r="A457" s="62"/>
      <c r="B457" s="62"/>
      <c r="C457" s="68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>
      <c r="A458" s="62"/>
      <c r="B458" s="62"/>
      <c r="C458" s="68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>
      <c r="A459" s="62"/>
      <c r="B459" s="62"/>
      <c r="C459" s="68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>
      <c r="A460" s="62"/>
      <c r="B460" s="62"/>
      <c r="C460" s="68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>
      <c r="A461" s="62"/>
      <c r="B461" s="62"/>
      <c r="C461" s="68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>
      <c r="A462" s="62"/>
      <c r="B462" s="62"/>
      <c r="C462" s="68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>
      <c r="A463" s="62"/>
      <c r="B463" s="62"/>
      <c r="C463" s="68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>
      <c r="A464" s="62"/>
      <c r="B464" s="62"/>
      <c r="C464" s="68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>
      <c r="A465" s="62"/>
      <c r="B465" s="62"/>
      <c r="C465" s="68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>
      <c r="A466" s="62"/>
      <c r="B466" s="62"/>
      <c r="C466" s="68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>
      <c r="A467" s="62"/>
      <c r="B467" s="62"/>
      <c r="C467" s="68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>
      <c r="A468" s="62"/>
      <c r="B468" s="62"/>
      <c r="C468" s="68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>
      <c r="A469" s="62"/>
      <c r="B469" s="62"/>
      <c r="C469" s="68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>
      <c r="A470" s="62"/>
      <c r="B470" s="62"/>
      <c r="C470" s="68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>
      <c r="A471" s="62"/>
      <c r="B471" s="62"/>
      <c r="C471" s="68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>
      <c r="A472" s="62"/>
      <c r="B472" s="62"/>
      <c r="C472" s="68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>
      <c r="A473" s="62"/>
      <c r="B473" s="62"/>
      <c r="C473" s="68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>
      <c r="A474" s="62"/>
      <c r="B474" s="62"/>
      <c r="C474" s="68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>
      <c r="A475" s="62"/>
      <c r="B475" s="62"/>
      <c r="C475" s="68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>
      <c r="A476" s="62"/>
      <c r="B476" s="62"/>
      <c r="C476" s="68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>
      <c r="A477" s="62"/>
      <c r="B477" s="62"/>
      <c r="C477" s="68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>
      <c r="A478" s="62"/>
      <c r="B478" s="62"/>
      <c r="C478" s="68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>
      <c r="A479" s="62"/>
      <c r="B479" s="62"/>
      <c r="C479" s="68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>
      <c r="A480" s="62"/>
      <c r="B480" s="62"/>
      <c r="C480" s="68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>
      <c r="A481" s="62"/>
      <c r="B481" s="62"/>
      <c r="C481" s="68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>
      <c r="A482" s="62"/>
      <c r="B482" s="62"/>
      <c r="C482" s="68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>
      <c r="A483" s="62"/>
      <c r="B483" s="62"/>
      <c r="C483" s="68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>
      <c r="A484" s="62"/>
      <c r="B484" s="62"/>
      <c r="C484" s="68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>
      <c r="A485" s="62"/>
      <c r="B485" s="62"/>
      <c r="C485" s="68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>
      <c r="A486" s="62"/>
      <c r="B486" s="62"/>
      <c r="C486" s="68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>
      <c r="A487" s="62"/>
      <c r="B487" s="62"/>
      <c r="C487" s="68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>
      <c r="A488" s="62"/>
      <c r="B488" s="62"/>
      <c r="C488" s="68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>
      <c r="A489" s="62"/>
      <c r="B489" s="62"/>
      <c r="C489" s="68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>
      <c r="A490" s="62"/>
      <c r="B490" s="62"/>
      <c r="C490" s="68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>
      <c r="A491" s="62"/>
      <c r="B491" s="62"/>
      <c r="C491" s="68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>
      <c r="A492" s="62"/>
      <c r="B492" s="62"/>
      <c r="C492" s="68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>
      <c r="A493" s="62"/>
      <c r="B493" s="62"/>
      <c r="C493" s="68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>
      <c r="A494" s="62"/>
      <c r="B494" s="62"/>
      <c r="C494" s="68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>
      <c r="A495" s="62"/>
      <c r="B495" s="62"/>
      <c r="C495" s="68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>
      <c r="A496" s="62"/>
      <c r="B496" s="62"/>
      <c r="C496" s="68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>
      <c r="A497" s="62"/>
      <c r="B497" s="62"/>
      <c r="C497" s="68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>
      <c r="A498" s="62"/>
      <c r="B498" s="62"/>
      <c r="C498" s="68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>
      <c r="A499" s="62"/>
      <c r="B499" s="62"/>
      <c r="C499" s="68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>
      <c r="A500" s="62"/>
      <c r="B500" s="62"/>
      <c r="C500" s="68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>
      <c r="A501" s="62"/>
      <c r="B501" s="62"/>
      <c r="C501" s="68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>
      <c r="A502" s="62"/>
      <c r="B502" s="62"/>
      <c r="C502" s="68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>
      <c r="A503" s="62"/>
      <c r="B503" s="62"/>
      <c r="C503" s="68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>
      <c r="A504" s="62"/>
      <c r="B504" s="62"/>
      <c r="C504" s="68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>
      <c r="A505" s="62"/>
      <c r="B505" s="62"/>
      <c r="C505" s="68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>
      <c r="A506" s="62"/>
      <c r="B506" s="62"/>
      <c r="C506" s="68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>
      <c r="A507" s="62"/>
      <c r="B507" s="62"/>
      <c r="C507" s="68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>
      <c r="A508" s="62"/>
      <c r="B508" s="62"/>
      <c r="C508" s="68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>
      <c r="A509" s="62"/>
      <c r="B509" s="62"/>
      <c r="C509" s="68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>
      <c r="A510" s="62"/>
      <c r="B510" s="62"/>
      <c r="C510" s="68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>
      <c r="A511" s="62"/>
      <c r="B511" s="62"/>
      <c r="C511" s="68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>
      <c r="A512" s="62"/>
      <c r="B512" s="62"/>
      <c r="C512" s="68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>
      <c r="A513" s="62"/>
      <c r="B513" s="62"/>
      <c r="C513" s="68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>
      <c r="A514" s="62"/>
      <c r="B514" s="62"/>
      <c r="C514" s="68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>
      <c r="A515" s="62"/>
      <c r="B515" s="62"/>
      <c r="C515" s="68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>
      <c r="A516" s="62"/>
      <c r="B516" s="62"/>
      <c r="C516" s="68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>
      <c r="A517" s="62"/>
      <c r="B517" s="62"/>
      <c r="C517" s="68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>
      <c r="A518" s="62"/>
      <c r="B518" s="62"/>
      <c r="C518" s="68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>
      <c r="A519" s="62"/>
      <c r="B519" s="62"/>
      <c r="C519" s="68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>
      <c r="A520" s="62"/>
      <c r="B520" s="62"/>
      <c r="C520" s="68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>
      <c r="A521" s="62"/>
      <c r="B521" s="62"/>
      <c r="C521" s="68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>
      <c r="A522" s="62"/>
      <c r="B522" s="62"/>
      <c r="C522" s="68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>
      <c r="A523" s="62"/>
      <c r="B523" s="62"/>
      <c r="C523" s="68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>
      <c r="A524" s="62"/>
      <c r="B524" s="62"/>
      <c r="C524" s="68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>
      <c r="A525" s="62"/>
      <c r="B525" s="62"/>
      <c r="C525" s="68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>
      <c r="A526" s="62"/>
      <c r="B526" s="62"/>
      <c r="C526" s="68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>
      <c r="A527" s="62"/>
      <c r="B527" s="62"/>
      <c r="C527" s="68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>
      <c r="A528" s="62"/>
      <c r="B528" s="62"/>
      <c r="C528" s="68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>
      <c r="A529" s="62"/>
      <c r="B529" s="62"/>
      <c r="C529" s="68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>
      <c r="A530" s="62"/>
      <c r="B530" s="62"/>
      <c r="C530" s="68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>
      <c r="A531" s="62"/>
      <c r="B531" s="62"/>
      <c r="C531" s="68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>
      <c r="A532" s="62"/>
      <c r="B532" s="62"/>
      <c r="C532" s="68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>
      <c r="A533" s="62"/>
      <c r="B533" s="62"/>
      <c r="C533" s="68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>
      <c r="A534" s="62"/>
      <c r="B534" s="62"/>
      <c r="C534" s="68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>
      <c r="A535" s="62"/>
      <c r="B535" s="62"/>
      <c r="C535" s="68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>
      <c r="A536" s="62"/>
      <c r="B536" s="62"/>
      <c r="C536" s="68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>
      <c r="A537" s="62"/>
      <c r="B537" s="62"/>
      <c r="C537" s="68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>
      <c r="A538" s="62"/>
      <c r="B538" s="62"/>
      <c r="C538" s="68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>
      <c r="A539" s="62"/>
      <c r="B539" s="62"/>
      <c r="C539" s="68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>
      <c r="A540" s="62"/>
      <c r="B540" s="62"/>
      <c r="C540" s="68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>
      <c r="A541" s="62"/>
      <c r="B541" s="62"/>
      <c r="C541" s="68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>
      <c r="A542" s="62"/>
      <c r="B542" s="62"/>
      <c r="C542" s="68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>
      <c r="A543" s="62"/>
      <c r="B543" s="62"/>
      <c r="C543" s="68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>
      <c r="A544" s="62"/>
      <c r="B544" s="62"/>
      <c r="C544" s="68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>
      <c r="A545" s="62"/>
      <c r="B545" s="62"/>
      <c r="C545" s="68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>
      <c r="A546" s="62"/>
      <c r="B546" s="62"/>
      <c r="C546" s="68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>
      <c r="A547" s="62"/>
      <c r="B547" s="62"/>
      <c r="C547" s="68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>
      <c r="A548" s="62"/>
      <c r="B548" s="62"/>
      <c r="C548" s="68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>
      <c r="A549" s="62"/>
      <c r="B549" s="62"/>
      <c r="C549" s="68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>
      <c r="A550" s="62"/>
      <c r="B550" s="62"/>
      <c r="C550" s="68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>
      <c r="A551" s="62"/>
      <c r="B551" s="62"/>
      <c r="C551" s="68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>
      <c r="A552" s="62"/>
      <c r="B552" s="62"/>
      <c r="C552" s="68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>
      <c r="A553" s="62"/>
      <c r="B553" s="62"/>
      <c r="C553" s="68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>
      <c r="A554" s="62"/>
      <c r="B554" s="62"/>
      <c r="C554" s="68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>
      <c r="A555" s="62"/>
      <c r="B555" s="62"/>
      <c r="C555" s="68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>
      <c r="A556" s="62"/>
      <c r="B556" s="62"/>
      <c r="C556" s="68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>
      <c r="A557" s="62"/>
      <c r="B557" s="62"/>
      <c r="C557" s="68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>
      <c r="A558" s="62"/>
      <c r="B558" s="62"/>
      <c r="C558" s="68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>
      <c r="A559" s="62"/>
      <c r="B559" s="62"/>
      <c r="C559" s="68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>
      <c r="A560" s="62"/>
      <c r="B560" s="62"/>
      <c r="C560" s="68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>
      <c r="A561" s="62"/>
      <c r="B561" s="62"/>
      <c r="C561" s="68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>
      <c r="A562" s="62"/>
      <c r="B562" s="62"/>
      <c r="C562" s="68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>
      <c r="A563" s="62"/>
      <c r="B563" s="62"/>
      <c r="C563" s="68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>
      <c r="A564" s="62"/>
      <c r="B564" s="62"/>
      <c r="C564" s="68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>
      <c r="A565" s="62"/>
      <c r="B565" s="62"/>
      <c r="C565" s="68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>
      <c r="A566" s="62"/>
      <c r="B566" s="62"/>
      <c r="C566" s="68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>
      <c r="A567" s="62"/>
      <c r="B567" s="62"/>
      <c r="C567" s="68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>
      <c r="A568" s="62"/>
      <c r="B568" s="62"/>
      <c r="C568" s="68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>
      <c r="A569" s="62"/>
      <c r="B569" s="62"/>
      <c r="C569" s="68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>
      <c r="A570" s="62"/>
      <c r="B570" s="62"/>
      <c r="C570" s="68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>
      <c r="A571" s="62"/>
      <c r="B571" s="62"/>
      <c r="C571" s="68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>
      <c r="A572" s="62"/>
      <c r="B572" s="62"/>
      <c r="C572" s="68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>
      <c r="A573" s="62"/>
      <c r="B573" s="62"/>
      <c r="C573" s="68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>
      <c r="A574" s="62"/>
      <c r="B574" s="62"/>
      <c r="C574" s="68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>
      <c r="A575" s="62"/>
      <c r="B575" s="62"/>
      <c r="C575" s="68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>
      <c r="A576" s="62"/>
      <c r="B576" s="62"/>
      <c r="C576" s="68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>
      <c r="A577" s="62"/>
      <c r="B577" s="62"/>
      <c r="C577" s="68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</row>
    <row r="578">
      <c r="A578" s="62"/>
      <c r="B578" s="62"/>
      <c r="C578" s="68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>
      <c r="A579" s="62"/>
      <c r="B579" s="62"/>
      <c r="C579" s="68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>
      <c r="A580" s="62"/>
      <c r="B580" s="62"/>
      <c r="C580" s="68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>
      <c r="A581" s="62"/>
      <c r="B581" s="62"/>
      <c r="C581" s="68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>
      <c r="A582" s="62"/>
      <c r="B582" s="62"/>
      <c r="C582" s="68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>
      <c r="A583" s="62"/>
      <c r="B583" s="62"/>
      <c r="C583" s="68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</row>
    <row r="584">
      <c r="A584" s="62"/>
      <c r="B584" s="62"/>
      <c r="C584" s="68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</row>
    <row r="585">
      <c r="A585" s="62"/>
      <c r="B585" s="62"/>
      <c r="C585" s="68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>
      <c r="A586" s="62"/>
      <c r="B586" s="62"/>
      <c r="C586" s="68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>
      <c r="A587" s="62"/>
      <c r="B587" s="62"/>
      <c r="C587" s="68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>
      <c r="A588" s="62"/>
      <c r="B588" s="62"/>
      <c r="C588" s="68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>
      <c r="A589" s="62"/>
      <c r="B589" s="62"/>
      <c r="C589" s="68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>
      <c r="A590" s="62"/>
      <c r="B590" s="62"/>
      <c r="C590" s="68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>
      <c r="A591" s="62"/>
      <c r="B591" s="62"/>
      <c r="C591" s="68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</row>
    <row r="592">
      <c r="A592" s="62"/>
      <c r="B592" s="62"/>
      <c r="C592" s="68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>
      <c r="A593" s="62"/>
      <c r="B593" s="62"/>
      <c r="C593" s="68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>
      <c r="A594" s="62"/>
      <c r="B594" s="62"/>
      <c r="C594" s="68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>
      <c r="A595" s="62"/>
      <c r="B595" s="62"/>
      <c r="C595" s="68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>
      <c r="A596" s="62"/>
      <c r="B596" s="62"/>
      <c r="C596" s="68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>
      <c r="A597" s="62"/>
      <c r="B597" s="62"/>
      <c r="C597" s="68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>
      <c r="A598" s="62"/>
      <c r="B598" s="62"/>
      <c r="C598" s="68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>
      <c r="A599" s="62"/>
      <c r="B599" s="62"/>
      <c r="C599" s="68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>
      <c r="A600" s="62"/>
      <c r="B600" s="62"/>
      <c r="C600" s="68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>
      <c r="A601" s="62"/>
      <c r="B601" s="62"/>
      <c r="C601" s="68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>
      <c r="A602" s="62"/>
      <c r="B602" s="62"/>
      <c r="C602" s="68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>
      <c r="A603" s="62"/>
      <c r="B603" s="62"/>
      <c r="C603" s="68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>
      <c r="A604" s="62"/>
      <c r="B604" s="62"/>
      <c r="C604" s="68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>
      <c r="A605" s="62"/>
      <c r="B605" s="62"/>
      <c r="C605" s="68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>
      <c r="A606" s="62"/>
      <c r="B606" s="62"/>
      <c r="C606" s="68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>
      <c r="A607" s="62"/>
      <c r="B607" s="62"/>
      <c r="C607" s="68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>
      <c r="A608" s="62"/>
      <c r="B608" s="62"/>
      <c r="C608" s="68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>
      <c r="A609" s="62"/>
      <c r="B609" s="62"/>
      <c r="C609" s="68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>
      <c r="A610" s="62"/>
      <c r="B610" s="62"/>
      <c r="C610" s="68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>
      <c r="A611" s="62"/>
      <c r="B611" s="62"/>
      <c r="C611" s="68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>
      <c r="A612" s="62"/>
      <c r="B612" s="62"/>
      <c r="C612" s="68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>
      <c r="A613" s="62"/>
      <c r="B613" s="62"/>
      <c r="C613" s="68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>
      <c r="A614" s="62"/>
      <c r="B614" s="62"/>
      <c r="C614" s="68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>
      <c r="A615" s="62"/>
      <c r="B615" s="62"/>
      <c r="C615" s="68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>
      <c r="A616" s="62"/>
      <c r="B616" s="62"/>
      <c r="C616" s="68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>
      <c r="A617" s="62"/>
      <c r="B617" s="62"/>
      <c r="C617" s="68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>
      <c r="A618" s="62"/>
      <c r="B618" s="62"/>
      <c r="C618" s="68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</row>
    <row r="619">
      <c r="A619" s="62"/>
      <c r="B619" s="62"/>
      <c r="C619" s="68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>
      <c r="A620" s="62"/>
      <c r="B620" s="62"/>
      <c r="C620" s="68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>
      <c r="A621" s="62"/>
      <c r="B621" s="62"/>
      <c r="C621" s="68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>
      <c r="A622" s="62"/>
      <c r="B622" s="62"/>
      <c r="C622" s="68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>
      <c r="A623" s="62"/>
      <c r="B623" s="62"/>
      <c r="C623" s="68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>
      <c r="A624" s="62"/>
      <c r="B624" s="62"/>
      <c r="C624" s="68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>
      <c r="A625" s="62"/>
      <c r="B625" s="62"/>
      <c r="C625" s="68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>
      <c r="A626" s="62"/>
      <c r="B626" s="62"/>
      <c r="C626" s="68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>
      <c r="A627" s="62"/>
      <c r="B627" s="62"/>
      <c r="C627" s="68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>
      <c r="A628" s="62"/>
      <c r="B628" s="62"/>
      <c r="C628" s="68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>
      <c r="A629" s="62"/>
      <c r="B629" s="62"/>
      <c r="C629" s="68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>
      <c r="A630" s="62"/>
      <c r="B630" s="62"/>
      <c r="C630" s="68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>
      <c r="A631" s="62"/>
      <c r="B631" s="62"/>
      <c r="C631" s="68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>
      <c r="A632" s="62"/>
      <c r="B632" s="62"/>
      <c r="C632" s="68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>
      <c r="A633" s="62"/>
      <c r="B633" s="62"/>
      <c r="C633" s="68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>
      <c r="A634" s="62"/>
      <c r="B634" s="62"/>
      <c r="C634" s="68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>
      <c r="A635" s="62"/>
      <c r="B635" s="62"/>
      <c r="C635" s="68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>
      <c r="A636" s="62"/>
      <c r="B636" s="62"/>
      <c r="C636" s="68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>
      <c r="A637" s="62"/>
      <c r="B637" s="62"/>
      <c r="C637" s="68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>
      <c r="A638" s="62"/>
      <c r="B638" s="62"/>
      <c r="C638" s="68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>
      <c r="A639" s="62"/>
      <c r="B639" s="62"/>
      <c r="C639" s="68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>
      <c r="A640" s="62"/>
      <c r="B640" s="62"/>
      <c r="C640" s="68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>
      <c r="A641" s="62"/>
      <c r="B641" s="62"/>
      <c r="C641" s="68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>
      <c r="A642" s="62"/>
      <c r="B642" s="62"/>
      <c r="C642" s="68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>
      <c r="A643" s="62"/>
      <c r="B643" s="62"/>
      <c r="C643" s="68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</row>
    <row r="644">
      <c r="A644" s="62"/>
      <c r="B644" s="62"/>
      <c r="C644" s="68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>
      <c r="A645" s="62"/>
      <c r="B645" s="62"/>
      <c r="C645" s="68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>
      <c r="A646" s="62"/>
      <c r="B646" s="62"/>
      <c r="C646" s="68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>
      <c r="A647" s="62"/>
      <c r="B647" s="62"/>
      <c r="C647" s="68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>
      <c r="A648" s="62"/>
      <c r="B648" s="62"/>
      <c r="C648" s="68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>
      <c r="A649" s="62"/>
      <c r="B649" s="62"/>
      <c r="C649" s="68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>
      <c r="A650" s="62"/>
      <c r="B650" s="62"/>
      <c r="C650" s="68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>
      <c r="A651" s="62"/>
      <c r="B651" s="62"/>
      <c r="C651" s="68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>
      <c r="A652" s="62"/>
      <c r="B652" s="62"/>
      <c r="C652" s="68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>
      <c r="A653" s="62"/>
      <c r="B653" s="62"/>
      <c r="C653" s="68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>
      <c r="A654" s="62"/>
      <c r="B654" s="62"/>
      <c r="C654" s="68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>
      <c r="A655" s="62"/>
      <c r="B655" s="62"/>
      <c r="C655" s="68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>
      <c r="A656" s="62"/>
      <c r="B656" s="62"/>
      <c r="C656" s="68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>
      <c r="A657" s="62"/>
      <c r="B657" s="62"/>
      <c r="C657" s="68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>
      <c r="A658" s="62"/>
      <c r="B658" s="62"/>
      <c r="C658" s="68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>
      <c r="A659" s="62"/>
      <c r="B659" s="62"/>
      <c r="C659" s="68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>
      <c r="A660" s="62"/>
      <c r="B660" s="62"/>
      <c r="C660" s="68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>
      <c r="A661" s="62"/>
      <c r="B661" s="62"/>
      <c r="C661" s="68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>
      <c r="A662" s="62"/>
      <c r="B662" s="62"/>
      <c r="C662" s="68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>
      <c r="A663" s="62"/>
      <c r="B663" s="62"/>
      <c r="C663" s="68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>
      <c r="A664" s="62"/>
      <c r="B664" s="62"/>
      <c r="C664" s="68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>
      <c r="A665" s="62"/>
      <c r="B665" s="62"/>
      <c r="C665" s="68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>
      <c r="A666" s="62"/>
      <c r="B666" s="62"/>
      <c r="C666" s="68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>
      <c r="A667" s="62"/>
      <c r="B667" s="62"/>
      <c r="C667" s="68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>
      <c r="A668" s="62"/>
      <c r="B668" s="62"/>
      <c r="C668" s="68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>
      <c r="A669" s="62"/>
      <c r="B669" s="62"/>
      <c r="C669" s="68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>
      <c r="A670" s="62"/>
      <c r="B670" s="62"/>
      <c r="C670" s="68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>
      <c r="A671" s="62"/>
      <c r="B671" s="62"/>
      <c r="C671" s="68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>
      <c r="A672" s="62"/>
      <c r="B672" s="62"/>
      <c r="C672" s="68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>
      <c r="A673" s="62"/>
      <c r="B673" s="62"/>
      <c r="C673" s="68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>
      <c r="A674" s="62"/>
      <c r="B674" s="62"/>
      <c r="C674" s="68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>
      <c r="A675" s="62"/>
      <c r="B675" s="62"/>
      <c r="C675" s="68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>
      <c r="A676" s="62"/>
      <c r="B676" s="62"/>
      <c r="C676" s="68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>
      <c r="A677" s="62"/>
      <c r="B677" s="62"/>
      <c r="C677" s="68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>
      <c r="A678" s="62"/>
      <c r="B678" s="62"/>
      <c r="C678" s="68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>
      <c r="A679" s="62"/>
      <c r="B679" s="62"/>
      <c r="C679" s="68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>
      <c r="A680" s="62"/>
      <c r="B680" s="62"/>
      <c r="C680" s="68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>
      <c r="A681" s="62"/>
      <c r="B681" s="62"/>
      <c r="C681" s="68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>
      <c r="A682" s="62"/>
      <c r="B682" s="62"/>
      <c r="C682" s="68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>
      <c r="A683" s="62"/>
      <c r="B683" s="62"/>
      <c r="C683" s="68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>
      <c r="A684" s="62"/>
      <c r="B684" s="62"/>
      <c r="C684" s="68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>
      <c r="A685" s="62"/>
      <c r="B685" s="62"/>
      <c r="C685" s="68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>
      <c r="A686" s="62"/>
      <c r="B686" s="62"/>
      <c r="C686" s="68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>
      <c r="A687" s="62"/>
      <c r="B687" s="62"/>
      <c r="C687" s="68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>
      <c r="A688" s="62"/>
      <c r="B688" s="62"/>
      <c r="C688" s="68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>
      <c r="A689" s="62"/>
      <c r="B689" s="62"/>
      <c r="C689" s="68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>
      <c r="A690" s="62"/>
      <c r="B690" s="62"/>
      <c r="C690" s="68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>
      <c r="A691" s="62"/>
      <c r="B691" s="62"/>
      <c r="C691" s="68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>
      <c r="A692" s="62"/>
      <c r="B692" s="62"/>
      <c r="C692" s="68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>
      <c r="A693" s="62"/>
      <c r="B693" s="62"/>
      <c r="C693" s="68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>
      <c r="A694" s="62"/>
      <c r="B694" s="62"/>
      <c r="C694" s="68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>
      <c r="A695" s="62"/>
      <c r="B695" s="62"/>
      <c r="C695" s="68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>
      <c r="A696" s="62"/>
      <c r="B696" s="62"/>
      <c r="C696" s="68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>
      <c r="A697" s="62"/>
      <c r="B697" s="62"/>
      <c r="C697" s="68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>
      <c r="A698" s="62"/>
      <c r="B698" s="62"/>
      <c r="C698" s="68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>
      <c r="A699" s="62"/>
      <c r="B699" s="62"/>
      <c r="C699" s="68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>
      <c r="A700" s="62"/>
      <c r="B700" s="62"/>
      <c r="C700" s="68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>
      <c r="A701" s="62"/>
      <c r="B701" s="62"/>
      <c r="C701" s="68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>
      <c r="A702" s="62"/>
      <c r="B702" s="62"/>
      <c r="C702" s="68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>
      <c r="A703" s="62"/>
      <c r="B703" s="62"/>
      <c r="C703" s="68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>
      <c r="A704" s="62"/>
      <c r="B704" s="62"/>
      <c r="C704" s="68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>
      <c r="A705" s="62"/>
      <c r="B705" s="62"/>
      <c r="C705" s="68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>
      <c r="A706" s="62"/>
      <c r="B706" s="62"/>
      <c r="C706" s="68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>
      <c r="A707" s="62"/>
      <c r="B707" s="62"/>
      <c r="C707" s="68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>
      <c r="A708" s="62"/>
      <c r="B708" s="62"/>
      <c r="C708" s="68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>
      <c r="A709" s="62"/>
      <c r="B709" s="62"/>
      <c r="C709" s="68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>
      <c r="A710" s="62"/>
      <c r="B710" s="62"/>
      <c r="C710" s="68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</row>
    <row r="711">
      <c r="A711" s="62"/>
      <c r="B711" s="62"/>
      <c r="C711" s="68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</row>
    <row r="712">
      <c r="A712" s="62"/>
      <c r="B712" s="62"/>
      <c r="C712" s="68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</row>
    <row r="713">
      <c r="A713" s="62"/>
      <c r="B713" s="62"/>
      <c r="C713" s="68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</row>
    <row r="714">
      <c r="A714" s="62"/>
      <c r="B714" s="62"/>
      <c r="C714" s="68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</row>
    <row r="715">
      <c r="A715" s="62"/>
      <c r="B715" s="62"/>
      <c r="C715" s="68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</row>
    <row r="716">
      <c r="A716" s="62"/>
      <c r="B716" s="62"/>
      <c r="C716" s="68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</row>
    <row r="717">
      <c r="A717" s="62"/>
      <c r="B717" s="62"/>
      <c r="C717" s="68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>
      <c r="A718" s="62"/>
      <c r="B718" s="62"/>
      <c r="C718" s="68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>
      <c r="A719" s="62"/>
      <c r="B719" s="62"/>
      <c r="C719" s="68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>
      <c r="A720" s="62"/>
      <c r="B720" s="62"/>
      <c r="C720" s="68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>
      <c r="A721" s="62"/>
      <c r="B721" s="62"/>
      <c r="C721" s="68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>
      <c r="A722" s="62"/>
      <c r="B722" s="62"/>
      <c r="C722" s="68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>
      <c r="A723" s="62"/>
      <c r="B723" s="62"/>
      <c r="C723" s="68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>
      <c r="A724" s="62"/>
      <c r="B724" s="62"/>
      <c r="C724" s="68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>
      <c r="A725" s="62"/>
      <c r="B725" s="62"/>
      <c r="C725" s="68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>
      <c r="A726" s="62"/>
      <c r="B726" s="62"/>
      <c r="C726" s="68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>
      <c r="A727" s="62"/>
      <c r="B727" s="62"/>
      <c r="C727" s="68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>
      <c r="A728" s="62"/>
      <c r="B728" s="62"/>
      <c r="C728" s="68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>
      <c r="A729" s="62"/>
      <c r="B729" s="62"/>
      <c r="C729" s="68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>
      <c r="A730" s="62"/>
      <c r="B730" s="62"/>
      <c r="C730" s="68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>
      <c r="A731" s="62"/>
      <c r="B731" s="62"/>
      <c r="C731" s="68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>
      <c r="A732" s="62"/>
      <c r="B732" s="62"/>
      <c r="C732" s="68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>
      <c r="A733" s="62"/>
      <c r="B733" s="62"/>
      <c r="C733" s="68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>
      <c r="A734" s="62"/>
      <c r="B734" s="62"/>
      <c r="C734" s="68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>
      <c r="A735" s="62"/>
      <c r="B735" s="62"/>
      <c r="C735" s="68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>
      <c r="A736" s="62"/>
      <c r="B736" s="62"/>
      <c r="C736" s="68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>
      <c r="A737" s="62"/>
      <c r="B737" s="62"/>
      <c r="C737" s="68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>
      <c r="A738" s="62"/>
      <c r="B738" s="62"/>
      <c r="C738" s="68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>
      <c r="A739" s="62"/>
      <c r="B739" s="62"/>
      <c r="C739" s="68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>
      <c r="A740" s="62"/>
      <c r="B740" s="62"/>
      <c r="C740" s="68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>
      <c r="A741" s="62"/>
      <c r="B741" s="62"/>
      <c r="C741" s="68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>
      <c r="A742" s="62"/>
      <c r="B742" s="62"/>
      <c r="C742" s="68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>
      <c r="A743" s="62"/>
      <c r="B743" s="62"/>
      <c r="C743" s="68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>
      <c r="A744" s="62"/>
      <c r="B744" s="62"/>
      <c r="C744" s="68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>
      <c r="A745" s="62"/>
      <c r="B745" s="62"/>
      <c r="C745" s="68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>
      <c r="A746" s="62"/>
      <c r="B746" s="62"/>
      <c r="C746" s="68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>
      <c r="A747" s="62"/>
      <c r="B747" s="62"/>
      <c r="C747" s="68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>
      <c r="A748" s="62"/>
      <c r="B748" s="62"/>
      <c r="C748" s="68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>
      <c r="A749" s="62"/>
      <c r="B749" s="62"/>
      <c r="C749" s="68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>
      <c r="A750" s="62"/>
      <c r="B750" s="62"/>
      <c r="C750" s="68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>
      <c r="A751" s="62"/>
      <c r="B751" s="62"/>
      <c r="C751" s="68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>
      <c r="A752" s="62"/>
      <c r="B752" s="62"/>
      <c r="C752" s="68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>
      <c r="A753" s="62"/>
      <c r="B753" s="62"/>
      <c r="C753" s="68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>
      <c r="A754" s="62"/>
      <c r="B754" s="62"/>
      <c r="C754" s="68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>
      <c r="A755" s="62"/>
      <c r="B755" s="62"/>
      <c r="C755" s="68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>
      <c r="A756" s="62"/>
      <c r="B756" s="62"/>
      <c r="C756" s="68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>
      <c r="A757" s="62"/>
      <c r="B757" s="62"/>
      <c r="C757" s="68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>
      <c r="A758" s="62"/>
      <c r="B758" s="62"/>
      <c r="C758" s="68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>
      <c r="A759" s="62"/>
      <c r="B759" s="62"/>
      <c r="C759" s="68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>
      <c r="A760" s="62"/>
      <c r="B760" s="62"/>
      <c r="C760" s="68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>
      <c r="A761" s="62"/>
      <c r="B761" s="62"/>
      <c r="C761" s="68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>
      <c r="A762" s="62"/>
      <c r="B762" s="62"/>
      <c r="C762" s="68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>
      <c r="A763" s="62"/>
      <c r="B763" s="62"/>
      <c r="C763" s="68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>
      <c r="A764" s="62"/>
      <c r="B764" s="62"/>
      <c r="C764" s="68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>
      <c r="A765" s="62"/>
      <c r="B765" s="62"/>
      <c r="C765" s="68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>
      <c r="A766" s="62"/>
      <c r="B766" s="62"/>
      <c r="C766" s="68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>
      <c r="A767" s="62"/>
      <c r="B767" s="62"/>
      <c r="C767" s="68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>
      <c r="A768" s="62"/>
      <c r="B768" s="62"/>
      <c r="C768" s="68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>
      <c r="A769" s="62"/>
      <c r="B769" s="62"/>
      <c r="C769" s="68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>
      <c r="A770" s="62"/>
      <c r="B770" s="62"/>
      <c r="C770" s="68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>
      <c r="A771" s="62"/>
      <c r="B771" s="62"/>
      <c r="C771" s="68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>
      <c r="A772" s="62"/>
      <c r="B772" s="62"/>
      <c r="C772" s="68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>
      <c r="A773" s="62"/>
      <c r="B773" s="62"/>
      <c r="C773" s="68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>
      <c r="A774" s="62"/>
      <c r="B774" s="62"/>
      <c r="C774" s="68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>
      <c r="A775" s="62"/>
      <c r="B775" s="62"/>
      <c r="C775" s="68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>
      <c r="A776" s="62"/>
      <c r="B776" s="62"/>
      <c r="C776" s="68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>
      <c r="A777" s="62"/>
      <c r="B777" s="62"/>
      <c r="C777" s="68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>
      <c r="A778" s="62"/>
      <c r="B778" s="62"/>
      <c r="C778" s="68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>
      <c r="A779" s="62"/>
      <c r="B779" s="62"/>
      <c r="C779" s="68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>
      <c r="A780" s="62"/>
      <c r="B780" s="62"/>
      <c r="C780" s="68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>
      <c r="A781" s="62"/>
      <c r="B781" s="62"/>
      <c r="C781" s="68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>
      <c r="A782" s="62"/>
      <c r="B782" s="62"/>
      <c r="C782" s="68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>
      <c r="A783" s="62"/>
      <c r="B783" s="62"/>
      <c r="C783" s="68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>
      <c r="A784" s="62"/>
      <c r="B784" s="62"/>
      <c r="C784" s="68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>
      <c r="A785" s="62"/>
      <c r="B785" s="62"/>
      <c r="C785" s="68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>
      <c r="A786" s="62"/>
      <c r="B786" s="62"/>
      <c r="C786" s="68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>
      <c r="A787" s="62"/>
      <c r="B787" s="62"/>
      <c r="C787" s="68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>
      <c r="A788" s="62"/>
      <c r="B788" s="62"/>
      <c r="C788" s="68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>
      <c r="A789" s="62"/>
      <c r="B789" s="62"/>
      <c r="C789" s="68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>
      <c r="A790" s="62"/>
      <c r="B790" s="62"/>
      <c r="C790" s="68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>
      <c r="A791" s="62"/>
      <c r="B791" s="62"/>
      <c r="C791" s="68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>
      <c r="A792" s="62"/>
      <c r="B792" s="62"/>
      <c r="C792" s="68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>
      <c r="A793" s="62"/>
      <c r="B793" s="62"/>
      <c r="C793" s="68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>
      <c r="A794" s="62"/>
      <c r="B794" s="62"/>
      <c r="C794" s="68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>
      <c r="A795" s="62"/>
      <c r="B795" s="62"/>
      <c r="C795" s="68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>
      <c r="A796" s="62"/>
      <c r="B796" s="62"/>
      <c r="C796" s="68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>
      <c r="A797" s="62"/>
      <c r="B797" s="62"/>
      <c r="C797" s="68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>
      <c r="A798" s="62"/>
      <c r="B798" s="62"/>
      <c r="C798" s="68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>
      <c r="A799" s="62"/>
      <c r="B799" s="62"/>
      <c r="C799" s="68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>
      <c r="A800" s="62"/>
      <c r="B800" s="62"/>
      <c r="C800" s="68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>
      <c r="A801" s="62"/>
      <c r="B801" s="62"/>
      <c r="C801" s="68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>
      <c r="A802" s="62"/>
      <c r="B802" s="62"/>
      <c r="C802" s="68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>
      <c r="A803" s="62"/>
      <c r="B803" s="62"/>
      <c r="C803" s="68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>
      <c r="A804" s="62"/>
      <c r="B804" s="62"/>
      <c r="C804" s="68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>
      <c r="A805" s="62"/>
      <c r="B805" s="62"/>
      <c r="C805" s="68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>
      <c r="A806" s="62"/>
      <c r="B806" s="62"/>
      <c r="C806" s="68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>
      <c r="A807" s="62"/>
      <c r="B807" s="62"/>
      <c r="C807" s="68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>
      <c r="A808" s="62"/>
      <c r="B808" s="62"/>
      <c r="C808" s="68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>
      <c r="A809" s="62"/>
      <c r="B809" s="62"/>
      <c r="C809" s="68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>
      <c r="A810" s="62"/>
      <c r="B810" s="62"/>
      <c r="C810" s="68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>
      <c r="A811" s="62"/>
      <c r="B811" s="62"/>
      <c r="C811" s="68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>
      <c r="A812" s="62"/>
      <c r="B812" s="62"/>
      <c r="C812" s="68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>
      <c r="A813" s="62"/>
      <c r="B813" s="62"/>
      <c r="C813" s="68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>
      <c r="A814" s="62"/>
      <c r="B814" s="62"/>
      <c r="C814" s="68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>
      <c r="A815" s="62"/>
      <c r="B815" s="62"/>
      <c r="C815" s="68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>
      <c r="A816" s="62"/>
      <c r="B816" s="62"/>
      <c r="C816" s="68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>
      <c r="A817" s="62"/>
      <c r="B817" s="62"/>
      <c r="C817" s="68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>
      <c r="A818" s="62"/>
      <c r="B818" s="62"/>
      <c r="C818" s="68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>
      <c r="A819" s="62"/>
      <c r="B819" s="62"/>
      <c r="C819" s="68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>
      <c r="A820" s="62"/>
      <c r="B820" s="62"/>
      <c r="C820" s="68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>
      <c r="A821" s="62"/>
      <c r="B821" s="62"/>
      <c r="C821" s="68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>
      <c r="A822" s="62"/>
      <c r="B822" s="62"/>
      <c r="C822" s="68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>
      <c r="A823" s="62"/>
      <c r="B823" s="62"/>
      <c r="C823" s="68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>
      <c r="A824" s="62"/>
      <c r="B824" s="62"/>
      <c r="C824" s="68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>
      <c r="A825" s="62"/>
      <c r="B825" s="62"/>
      <c r="C825" s="68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>
      <c r="A826" s="62"/>
      <c r="B826" s="62"/>
      <c r="C826" s="68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>
      <c r="A827" s="62"/>
      <c r="B827" s="62"/>
      <c r="C827" s="68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>
      <c r="A828" s="62"/>
      <c r="B828" s="62"/>
      <c r="C828" s="68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>
      <c r="A829" s="62"/>
      <c r="B829" s="62"/>
      <c r="C829" s="68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>
      <c r="A830" s="62"/>
      <c r="B830" s="62"/>
      <c r="C830" s="68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>
      <c r="A831" s="62"/>
      <c r="B831" s="62"/>
      <c r="C831" s="68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>
      <c r="A832" s="62"/>
      <c r="B832" s="62"/>
      <c r="C832" s="68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>
      <c r="A833" s="62"/>
      <c r="B833" s="62"/>
      <c r="C833" s="68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>
      <c r="A834" s="62"/>
      <c r="B834" s="62"/>
      <c r="C834" s="68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>
      <c r="A835" s="62"/>
      <c r="B835" s="62"/>
      <c r="C835" s="68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>
      <c r="A836" s="62"/>
      <c r="B836" s="62"/>
      <c r="C836" s="68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>
      <c r="A837" s="62"/>
      <c r="B837" s="62"/>
      <c r="C837" s="68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>
      <c r="A838" s="62"/>
      <c r="B838" s="62"/>
      <c r="C838" s="68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>
      <c r="A839" s="62"/>
      <c r="B839" s="62"/>
      <c r="C839" s="68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>
      <c r="A840" s="62"/>
      <c r="B840" s="62"/>
      <c r="C840" s="68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>
      <c r="A841" s="62"/>
      <c r="B841" s="62"/>
      <c r="C841" s="68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>
      <c r="A842" s="62"/>
      <c r="B842" s="62"/>
      <c r="C842" s="68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>
      <c r="A843" s="62"/>
      <c r="B843" s="62"/>
      <c r="C843" s="68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>
      <c r="A844" s="62"/>
      <c r="B844" s="62"/>
      <c r="C844" s="68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>
      <c r="A845" s="62"/>
      <c r="B845" s="62"/>
      <c r="C845" s="68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>
      <c r="A846" s="62"/>
      <c r="B846" s="62"/>
      <c r="C846" s="68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>
      <c r="A847" s="62"/>
      <c r="B847" s="62"/>
      <c r="C847" s="68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>
      <c r="A848" s="62"/>
      <c r="B848" s="62"/>
      <c r="C848" s="68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>
      <c r="A849" s="62"/>
      <c r="B849" s="62"/>
      <c r="C849" s="68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>
      <c r="A850" s="62"/>
      <c r="B850" s="62"/>
      <c r="C850" s="68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>
      <c r="A851" s="62"/>
      <c r="B851" s="62"/>
      <c r="C851" s="68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>
      <c r="A852" s="62"/>
      <c r="B852" s="62"/>
      <c r="C852" s="68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>
      <c r="A853" s="62"/>
      <c r="B853" s="62"/>
      <c r="C853" s="68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>
      <c r="A854" s="62"/>
      <c r="B854" s="62"/>
      <c r="C854" s="68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>
      <c r="A855" s="62"/>
      <c r="B855" s="62"/>
      <c r="C855" s="68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>
      <c r="A856" s="62"/>
      <c r="B856" s="62"/>
      <c r="C856" s="68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>
      <c r="A857" s="62"/>
      <c r="B857" s="62"/>
      <c r="C857" s="68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>
      <c r="A858" s="62"/>
      <c r="B858" s="62"/>
      <c r="C858" s="68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>
      <c r="A859" s="62"/>
      <c r="B859" s="62"/>
      <c r="C859" s="68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>
      <c r="A860" s="62"/>
      <c r="B860" s="62"/>
      <c r="C860" s="68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>
      <c r="A861" s="62"/>
      <c r="B861" s="62"/>
      <c r="C861" s="68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>
      <c r="A862" s="62"/>
      <c r="B862" s="62"/>
      <c r="C862" s="68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>
      <c r="A863" s="62"/>
      <c r="B863" s="62"/>
      <c r="C863" s="68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>
      <c r="A864" s="62"/>
      <c r="B864" s="62"/>
      <c r="C864" s="68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>
      <c r="A865" s="62"/>
      <c r="B865" s="62"/>
      <c r="C865" s="68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>
      <c r="A866" s="62"/>
      <c r="B866" s="62"/>
      <c r="C866" s="68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>
      <c r="A867" s="62"/>
      <c r="B867" s="62"/>
      <c r="C867" s="68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>
      <c r="A868" s="62"/>
      <c r="B868" s="62"/>
      <c r="C868" s="68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>
      <c r="A869" s="62"/>
      <c r="B869" s="62"/>
      <c r="C869" s="68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>
      <c r="A870" s="62"/>
      <c r="B870" s="62"/>
      <c r="C870" s="68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>
      <c r="A871" s="62"/>
      <c r="B871" s="62"/>
      <c r="C871" s="68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>
      <c r="A872" s="62"/>
      <c r="B872" s="62"/>
      <c r="C872" s="68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>
      <c r="A873" s="62"/>
      <c r="B873" s="62"/>
      <c r="C873" s="68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>
      <c r="A874" s="62"/>
      <c r="B874" s="62"/>
      <c r="C874" s="68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>
      <c r="A875" s="62"/>
      <c r="B875" s="62"/>
      <c r="C875" s="68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>
      <c r="A876" s="62"/>
      <c r="B876" s="62"/>
      <c r="C876" s="68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>
      <c r="A877" s="62"/>
      <c r="B877" s="62"/>
      <c r="C877" s="68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>
      <c r="A878" s="62"/>
      <c r="B878" s="62"/>
      <c r="C878" s="68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>
      <c r="A879" s="62"/>
      <c r="B879" s="62"/>
      <c r="C879" s="68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>
      <c r="A880" s="62"/>
      <c r="B880" s="62"/>
      <c r="C880" s="68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>
      <c r="A881" s="62"/>
      <c r="B881" s="62"/>
      <c r="C881" s="68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>
      <c r="A882" s="62"/>
      <c r="B882" s="62"/>
      <c r="C882" s="68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>
      <c r="A883" s="62"/>
      <c r="B883" s="62"/>
      <c r="C883" s="68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>
      <c r="A884" s="62"/>
      <c r="B884" s="62"/>
      <c r="C884" s="68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>
      <c r="A885" s="62"/>
      <c r="B885" s="62"/>
      <c r="C885" s="68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>
      <c r="A886" s="62"/>
      <c r="B886" s="62"/>
      <c r="C886" s="68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>
      <c r="A887" s="62"/>
      <c r="B887" s="62"/>
      <c r="C887" s="68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>
      <c r="A888" s="62"/>
      <c r="B888" s="62"/>
      <c r="C888" s="68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>
      <c r="A889" s="62"/>
      <c r="B889" s="62"/>
      <c r="C889" s="68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>
      <c r="A890" s="62"/>
      <c r="B890" s="62"/>
      <c r="C890" s="68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>
      <c r="A891" s="62"/>
      <c r="B891" s="62"/>
      <c r="C891" s="68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>
      <c r="A892" s="62"/>
      <c r="B892" s="62"/>
      <c r="C892" s="68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>
      <c r="A893" s="62"/>
      <c r="B893" s="62"/>
      <c r="C893" s="68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>
      <c r="A894" s="62"/>
      <c r="B894" s="62"/>
      <c r="C894" s="68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>
      <c r="A895" s="62"/>
      <c r="B895" s="62"/>
      <c r="C895" s="68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>
      <c r="A896" s="62"/>
      <c r="B896" s="62"/>
      <c r="C896" s="68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>
      <c r="A897" s="62"/>
      <c r="B897" s="62"/>
      <c r="C897" s="68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>
      <c r="A898" s="62"/>
      <c r="B898" s="62"/>
      <c r="C898" s="68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>
      <c r="A899" s="62"/>
      <c r="B899" s="62"/>
      <c r="C899" s="68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>
      <c r="A900" s="62"/>
      <c r="B900" s="62"/>
      <c r="C900" s="68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>
      <c r="A901" s="62"/>
      <c r="B901" s="62"/>
      <c r="C901" s="68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>
      <c r="A902" s="62"/>
      <c r="B902" s="62"/>
      <c r="C902" s="68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>
      <c r="A903" s="62"/>
      <c r="B903" s="62"/>
      <c r="C903" s="68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>
      <c r="A904" s="62"/>
      <c r="B904" s="62"/>
      <c r="C904" s="68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>
      <c r="A905" s="62"/>
      <c r="B905" s="62"/>
      <c r="C905" s="68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>
      <c r="A906" s="62"/>
      <c r="B906" s="62"/>
      <c r="C906" s="68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>
      <c r="A907" s="62"/>
      <c r="B907" s="62"/>
      <c r="C907" s="68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>
      <c r="A908" s="62"/>
      <c r="B908" s="62"/>
      <c r="C908" s="68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>
      <c r="A909" s="62"/>
      <c r="B909" s="62"/>
      <c r="C909" s="68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>
      <c r="A910" s="62"/>
      <c r="B910" s="62"/>
      <c r="C910" s="68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>
      <c r="A911" s="62"/>
      <c r="B911" s="62"/>
      <c r="C911" s="68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>
      <c r="A912" s="62"/>
      <c r="B912" s="62"/>
      <c r="C912" s="68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>
      <c r="A913" s="62"/>
      <c r="B913" s="62"/>
      <c r="C913" s="68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>
      <c r="A914" s="62"/>
      <c r="B914" s="62"/>
      <c r="C914" s="68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>
      <c r="A915" s="62"/>
      <c r="B915" s="62"/>
      <c r="C915" s="68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>
      <c r="A916" s="62"/>
      <c r="B916" s="62"/>
      <c r="C916" s="68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>
      <c r="A917" s="62"/>
      <c r="B917" s="62"/>
      <c r="C917" s="68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>
      <c r="A918" s="62"/>
      <c r="B918" s="62"/>
      <c r="C918" s="68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>
      <c r="A919" s="62"/>
      <c r="B919" s="62"/>
      <c r="C919" s="68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>
      <c r="A920" s="62"/>
      <c r="B920" s="62"/>
      <c r="C920" s="68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>
      <c r="A921" s="62"/>
      <c r="B921" s="62"/>
      <c r="C921" s="68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>
      <c r="A922" s="62"/>
      <c r="B922" s="62"/>
      <c r="C922" s="68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>
      <c r="A923" s="62"/>
      <c r="B923" s="62"/>
      <c r="C923" s="68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>
      <c r="A924" s="62"/>
      <c r="B924" s="62"/>
      <c r="C924" s="68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>
      <c r="A925" s="62"/>
      <c r="B925" s="62"/>
      <c r="C925" s="68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>
      <c r="A926" s="62"/>
      <c r="B926" s="62"/>
      <c r="C926" s="68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>
      <c r="A927" s="62"/>
      <c r="B927" s="62"/>
      <c r="C927" s="68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>
      <c r="A928" s="62"/>
      <c r="B928" s="62"/>
      <c r="C928" s="68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>
      <c r="A929" s="62"/>
      <c r="B929" s="62"/>
      <c r="C929" s="68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>
      <c r="A930" s="62"/>
      <c r="B930" s="62"/>
      <c r="C930" s="68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>
      <c r="A931" s="62"/>
      <c r="B931" s="62"/>
      <c r="C931" s="68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>
      <c r="A932" s="62"/>
      <c r="B932" s="62"/>
      <c r="C932" s="68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>
      <c r="A933" s="62"/>
      <c r="B933" s="62"/>
      <c r="C933" s="68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>
      <c r="A934" s="62"/>
      <c r="B934" s="62"/>
      <c r="C934" s="68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>
      <c r="A935" s="62"/>
      <c r="B935" s="62"/>
      <c r="C935" s="68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>
      <c r="A936" s="62"/>
      <c r="B936" s="62"/>
      <c r="C936" s="68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>
      <c r="A937" s="62"/>
      <c r="B937" s="62"/>
      <c r="C937" s="68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>
      <c r="A938" s="62"/>
      <c r="B938" s="62"/>
      <c r="C938" s="68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>
      <c r="A939" s="62"/>
      <c r="B939" s="62"/>
      <c r="C939" s="68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>
      <c r="A940" s="62"/>
      <c r="B940" s="62"/>
      <c r="C940" s="68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>
      <c r="A941" s="62"/>
      <c r="B941" s="62"/>
      <c r="C941" s="68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>
      <c r="A942" s="62"/>
      <c r="B942" s="62"/>
      <c r="C942" s="68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>
      <c r="A943" s="62"/>
      <c r="B943" s="62"/>
      <c r="C943" s="68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>
      <c r="A944" s="62"/>
      <c r="B944" s="62"/>
      <c r="C944" s="68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>
      <c r="A945" s="62"/>
      <c r="B945" s="62"/>
      <c r="C945" s="68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>
      <c r="A946" s="62"/>
      <c r="B946" s="62"/>
      <c r="C946" s="68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>
      <c r="A947" s="62"/>
      <c r="B947" s="62"/>
      <c r="C947" s="68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>
      <c r="A948" s="62"/>
      <c r="B948" s="62"/>
      <c r="C948" s="68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>
      <c r="A949" s="62"/>
      <c r="B949" s="62"/>
      <c r="C949" s="68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>
      <c r="A950" s="62"/>
      <c r="B950" s="62"/>
      <c r="C950" s="68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>
      <c r="A951" s="62"/>
      <c r="B951" s="62"/>
      <c r="C951" s="68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>
      <c r="A952" s="62"/>
      <c r="B952" s="62"/>
      <c r="C952" s="68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>
      <c r="A953" s="62"/>
      <c r="B953" s="62"/>
      <c r="C953" s="68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>
      <c r="A954" s="62"/>
      <c r="B954" s="62"/>
      <c r="C954" s="68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>
      <c r="A955" s="62"/>
      <c r="B955" s="62"/>
      <c r="C955" s="68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>
      <c r="A956" s="62"/>
      <c r="B956" s="62"/>
      <c r="C956" s="68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>
      <c r="A957" s="62"/>
      <c r="B957" s="62"/>
      <c r="C957" s="68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>
      <c r="A958" s="62"/>
      <c r="B958" s="62"/>
      <c r="C958" s="68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>
      <c r="A959" s="62"/>
      <c r="B959" s="62"/>
      <c r="C959" s="68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>
      <c r="A960" s="62"/>
      <c r="B960" s="62"/>
      <c r="C960" s="68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>
      <c r="A961" s="62"/>
      <c r="B961" s="62"/>
      <c r="C961" s="68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  <row r="962">
      <c r="A962" s="62"/>
      <c r="B962" s="62"/>
      <c r="C962" s="68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</row>
    <row r="963">
      <c r="A963" s="62"/>
      <c r="B963" s="62"/>
      <c r="C963" s="68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</row>
    <row r="964">
      <c r="A964" s="62"/>
      <c r="B964" s="62"/>
      <c r="C964" s="68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</row>
    <row r="965">
      <c r="A965" s="62"/>
      <c r="B965" s="62"/>
      <c r="C965" s="68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</row>
    <row r="966">
      <c r="A966" s="62"/>
      <c r="B966" s="62"/>
      <c r="C966" s="68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</row>
    <row r="967">
      <c r="A967" s="62"/>
      <c r="B967" s="62"/>
      <c r="C967" s="68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</row>
    <row r="968">
      <c r="A968" s="62"/>
      <c r="B968" s="62"/>
      <c r="C968" s="68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</row>
    <row r="969">
      <c r="A969" s="62"/>
      <c r="B969" s="62"/>
      <c r="C969" s="68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</row>
    <row r="970">
      <c r="A970" s="62"/>
      <c r="B970" s="62"/>
      <c r="C970" s="68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</row>
    <row r="971">
      <c r="A971" s="62"/>
      <c r="B971" s="62"/>
      <c r="C971" s="68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</row>
    <row r="972">
      <c r="A972" s="62"/>
      <c r="B972" s="62"/>
      <c r="C972" s="68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</row>
    <row r="973">
      <c r="A973" s="62"/>
      <c r="B973" s="62"/>
      <c r="C973" s="68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</row>
    <row r="974">
      <c r="A974" s="62"/>
      <c r="B974" s="62"/>
      <c r="C974" s="68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</row>
    <row r="975">
      <c r="A975" s="62"/>
      <c r="B975" s="62"/>
      <c r="C975" s="68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</row>
    <row r="976">
      <c r="A976" s="62"/>
      <c r="B976" s="62"/>
      <c r="C976" s="68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</row>
    <row r="977">
      <c r="A977" s="62"/>
      <c r="B977" s="62"/>
      <c r="C977" s="68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</row>
    <row r="978">
      <c r="A978" s="62"/>
      <c r="B978" s="62"/>
      <c r="C978" s="68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</row>
    <row r="979">
      <c r="A979" s="62"/>
      <c r="B979" s="62"/>
      <c r="C979" s="68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</row>
    <row r="980">
      <c r="A980" s="62"/>
      <c r="B980" s="62"/>
      <c r="C980" s="68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</row>
    <row r="981">
      <c r="A981" s="62"/>
      <c r="B981" s="62"/>
      <c r="C981" s="68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</row>
    <row r="982">
      <c r="A982" s="62"/>
      <c r="B982" s="62"/>
      <c r="C982" s="68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</row>
    <row r="983">
      <c r="A983" s="62"/>
      <c r="B983" s="62"/>
      <c r="C983" s="68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</row>
    <row r="984">
      <c r="A984" s="62"/>
      <c r="B984" s="62"/>
      <c r="C984" s="68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</row>
    <row r="985">
      <c r="A985" s="62"/>
      <c r="B985" s="62"/>
      <c r="C985" s="68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</row>
    <row r="986">
      <c r="A986" s="62"/>
      <c r="B986" s="62"/>
      <c r="C986" s="68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</row>
    <row r="987">
      <c r="A987" s="62"/>
      <c r="B987" s="62"/>
      <c r="C987" s="68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</row>
    <row r="988">
      <c r="A988" s="62"/>
      <c r="B988" s="62"/>
      <c r="C988" s="68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</row>
    <row r="989">
      <c r="A989" s="62"/>
      <c r="B989" s="62"/>
      <c r="C989" s="68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</row>
    <row r="990">
      <c r="A990" s="62"/>
      <c r="B990" s="62"/>
      <c r="C990" s="68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</row>
    <row r="991">
      <c r="A991" s="62"/>
      <c r="B991" s="62"/>
      <c r="C991" s="68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</row>
    <row r="992">
      <c r="A992" s="62"/>
      <c r="B992" s="62"/>
      <c r="C992" s="68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</row>
    <row r="993">
      <c r="A993" s="62"/>
      <c r="B993" s="62"/>
      <c r="C993" s="68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</row>
    <row r="994">
      <c r="A994" s="62"/>
      <c r="B994" s="62"/>
      <c r="C994" s="68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</row>
    <row r="995">
      <c r="A995" s="62"/>
      <c r="B995" s="62"/>
      <c r="C995" s="68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</row>
    <row r="996">
      <c r="A996" s="62"/>
      <c r="B996" s="62"/>
      <c r="C996" s="68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</row>
    <row r="997">
      <c r="A997" s="62"/>
      <c r="B997" s="62"/>
      <c r="C997" s="68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</row>
    <row r="998">
      <c r="A998" s="62"/>
      <c r="B998" s="62"/>
      <c r="C998" s="68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</row>
    <row r="999">
      <c r="A999" s="62"/>
      <c r="B999" s="62"/>
      <c r="C999" s="68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</row>
    <row r="1000">
      <c r="A1000" s="62"/>
      <c r="B1000" s="62"/>
      <c r="C1000" s="68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</row>
    <row r="1001">
      <c r="A1001" s="62"/>
      <c r="B1001" s="62"/>
      <c r="C1001" s="68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</row>
    <row r="1002">
      <c r="A1002" s="62"/>
      <c r="B1002" s="62"/>
      <c r="C1002" s="68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</row>
    <row r="1003">
      <c r="A1003" s="62"/>
      <c r="B1003" s="62"/>
      <c r="C1003" s="68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</row>
    <row r="1004">
      <c r="A1004" s="62"/>
      <c r="B1004" s="62"/>
      <c r="C1004" s="68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</row>
    <row r="1005">
      <c r="A1005" s="62"/>
      <c r="B1005" s="62"/>
      <c r="C1005" s="68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</row>
    <row r="1006">
      <c r="A1006" s="62"/>
      <c r="B1006" s="62"/>
      <c r="C1006" s="68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</row>
    <row r="1007">
      <c r="A1007" s="62"/>
      <c r="B1007" s="62"/>
      <c r="C1007" s="68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</row>
    <row r="1008">
      <c r="A1008" s="62"/>
      <c r="B1008" s="62"/>
      <c r="C1008" s="68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</row>
    <row r="1009">
      <c r="A1009" s="62"/>
      <c r="B1009" s="62"/>
      <c r="C1009" s="68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</row>
    <row r="1010">
      <c r="A1010" s="62"/>
      <c r="B1010" s="62"/>
      <c r="C1010" s="68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</row>
    <row r="1011">
      <c r="A1011" s="62"/>
      <c r="B1011" s="62"/>
      <c r="C1011" s="68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</row>
    <row r="1012">
      <c r="A1012" s="62"/>
      <c r="B1012" s="62"/>
      <c r="C1012" s="68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</row>
    <row r="1013">
      <c r="A1013" s="62"/>
      <c r="B1013" s="62"/>
      <c r="C1013" s="68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</row>
    <row r="1014">
      <c r="A1014" s="62"/>
      <c r="B1014" s="62"/>
      <c r="C1014" s="68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</row>
    <row r="1015">
      <c r="A1015" s="62"/>
      <c r="B1015" s="62"/>
      <c r="C1015" s="68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</row>
    <row r="1016">
      <c r="A1016" s="62"/>
      <c r="B1016" s="62"/>
      <c r="C1016" s="68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</row>
    <row r="1017">
      <c r="A1017" s="62"/>
      <c r="B1017" s="62"/>
      <c r="C1017" s="68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</row>
    <row r="1018">
      <c r="A1018" s="62"/>
      <c r="B1018" s="62"/>
      <c r="C1018" s="68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</row>
    <row r="1019">
      <c r="A1019" s="62"/>
      <c r="B1019" s="62"/>
      <c r="C1019" s="68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</row>
    <row r="1020">
      <c r="A1020" s="62"/>
      <c r="B1020" s="62"/>
      <c r="C1020" s="68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</row>
    <row r="1021">
      <c r="A1021" s="62"/>
      <c r="B1021" s="62"/>
      <c r="C1021" s="68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</row>
    <row r="1022">
      <c r="A1022" s="62"/>
      <c r="B1022" s="62"/>
      <c r="C1022" s="68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</row>
    <row r="1023">
      <c r="A1023" s="62"/>
      <c r="B1023" s="62"/>
      <c r="C1023" s="68"/>
      <c r="D1023" s="62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</row>
    <row r="1024">
      <c r="A1024" s="62"/>
      <c r="B1024" s="62"/>
      <c r="C1024" s="68"/>
      <c r="D1024" s="62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</row>
    <row r="1025">
      <c r="A1025" s="62"/>
      <c r="B1025" s="62"/>
      <c r="C1025" s="68"/>
      <c r="D1025" s="62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</row>
    <row r="1026">
      <c r="A1026" s="62"/>
      <c r="B1026" s="62"/>
      <c r="C1026" s="68"/>
      <c r="D1026" s="62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</row>
    <row r="1027">
      <c r="A1027" s="62"/>
      <c r="B1027" s="62"/>
      <c r="C1027" s="68"/>
      <c r="D1027" s="62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</row>
    <row r="1028">
      <c r="A1028" s="62"/>
      <c r="B1028" s="62"/>
      <c r="C1028" s="68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</row>
    <row r="1029">
      <c r="A1029" s="62"/>
      <c r="B1029" s="62"/>
      <c r="C1029" s="68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</row>
    <row r="1030">
      <c r="A1030" s="62"/>
      <c r="B1030" s="62"/>
      <c r="C1030" s="68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</row>
    <row r="1031">
      <c r="A1031" s="62"/>
      <c r="B1031" s="62"/>
      <c r="C1031" s="68"/>
      <c r="D1031" s="62"/>
      <c r="E1031" s="62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2"/>
    </row>
    <row r="1032">
      <c r="A1032" s="62"/>
      <c r="B1032" s="62"/>
      <c r="C1032" s="68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</row>
    <row r="1033">
      <c r="A1033" s="62"/>
      <c r="B1033" s="62"/>
      <c r="C1033" s="68"/>
      <c r="D1033" s="62"/>
      <c r="E1033" s="62"/>
      <c r="F1033" s="62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</row>
    <row r="1034">
      <c r="A1034" s="62"/>
      <c r="B1034" s="62"/>
      <c r="C1034" s="68"/>
      <c r="D1034" s="62"/>
      <c r="E1034" s="62"/>
      <c r="F1034" s="62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  <c r="W1034" s="62"/>
      <c r="X1034" s="62"/>
      <c r="Y1034" s="62"/>
      <c r="Z1034" s="62"/>
      <c r="AA1034" s="62"/>
    </row>
  </sheetData>
  <autoFilter ref="$A$1:$E$235"/>
  <dataValidations>
    <dataValidation type="list" allowBlank="1" showErrorMessage="1" sqref="B2 B4:B273">
      <formula1>"El Mercedino,Frigorífico 90,Huevos,Discomar,Los gringos,Papas,Atún,Marcos,San Francisco,Papelera Ro,Sueldos tarde,Sueldos noche,Papelera,Unifrío,Pepsi,Chavela,Mariana,Mateo,Star,Rincón vegetariano,DEM,La Paulina,Malena,Lg,Papelera Juanchi,tpg,Aceite,María"&amp;" Botto,Otros,Latinoamérica,Ciageser,Bastoni,Helados,Malfatti,Barritas,Papelera atlántica,Vanesa budines,Miel Paula,Alfajores de maicena,Sarah"</formula1>
    </dataValidation>
    <dataValidation type="list" allowBlank="1" showErrorMessage="1" sqref="B3">
      <formula1>"El Mercedino,Frigorífico 90,Huevos,Discomar,Los gringos,Papas,Marepronto,Marcos,San Francisco,Papelera Ro,Sueldos"</formula1>
    </dataValidation>
    <dataValidation type="list" allowBlank="1" showErrorMessage="1" sqref="E2:E213 E215:E273">
      <formula1>"Efectivo,Transferencia,Tarjeta,Bacha"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13"/>
    <col customWidth="1" min="25" max="25" width="15.63"/>
  </cols>
  <sheetData>
    <row r="1">
      <c r="A1" s="69" t="s">
        <v>187</v>
      </c>
      <c r="B1" s="70">
        <v>45659.0</v>
      </c>
      <c r="C1" s="70">
        <v>45660.0</v>
      </c>
      <c r="D1" s="70">
        <v>45661.0</v>
      </c>
      <c r="E1" s="71" t="s">
        <v>11</v>
      </c>
      <c r="F1" s="72">
        <v>45663.0</v>
      </c>
      <c r="G1" s="72">
        <v>45664.0</v>
      </c>
      <c r="H1" s="72">
        <v>45665.0</v>
      </c>
      <c r="I1" s="72">
        <v>45666.0</v>
      </c>
      <c r="J1" s="70">
        <v>45667.0</v>
      </c>
      <c r="K1" s="72">
        <v>45668.0</v>
      </c>
      <c r="L1" s="71" t="s">
        <v>11</v>
      </c>
      <c r="M1" s="72">
        <v>45670.0</v>
      </c>
      <c r="N1" s="72">
        <v>45671.0</v>
      </c>
      <c r="O1" s="72">
        <v>45672.0</v>
      </c>
      <c r="P1" s="72">
        <v>45673.0</v>
      </c>
      <c r="Q1" s="72">
        <v>45674.0</v>
      </c>
      <c r="R1" s="72">
        <v>45675.0</v>
      </c>
      <c r="S1" s="71" t="s">
        <v>11</v>
      </c>
      <c r="T1" s="72">
        <v>45677.0</v>
      </c>
      <c r="U1" s="72">
        <v>45678.0</v>
      </c>
      <c r="V1" s="72">
        <v>45679.0</v>
      </c>
      <c r="W1" s="72">
        <v>45680.0</v>
      </c>
      <c r="X1" s="72">
        <v>45681.0</v>
      </c>
      <c r="Y1" s="73"/>
      <c r="Z1" s="72">
        <v>45682.0</v>
      </c>
      <c r="AA1" s="71" t="s">
        <v>11</v>
      </c>
      <c r="AB1" s="72">
        <v>45684.0</v>
      </c>
      <c r="AC1" s="72">
        <v>45685.0</v>
      </c>
      <c r="AD1" s="72">
        <v>45686.0</v>
      </c>
      <c r="AE1" s="72">
        <v>45687.0</v>
      </c>
      <c r="AF1" s="72">
        <v>45688.0</v>
      </c>
      <c r="AG1" s="73"/>
      <c r="AH1" s="72">
        <v>45689.0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</row>
    <row r="2">
      <c r="A2" s="74" t="s">
        <v>188</v>
      </c>
      <c r="B2" s="75">
        <v>28500.0</v>
      </c>
      <c r="C2" s="75">
        <v>37950.0</v>
      </c>
      <c r="D2" s="75">
        <v>28500.0</v>
      </c>
      <c r="E2" s="76"/>
      <c r="F2" s="77">
        <v>28500.0</v>
      </c>
      <c r="G2" s="78">
        <v>28500.0</v>
      </c>
      <c r="H2" s="79">
        <v>28500.0</v>
      </c>
      <c r="I2" s="79">
        <v>28500.0</v>
      </c>
      <c r="J2" s="79">
        <v>42700.0</v>
      </c>
      <c r="K2" s="79">
        <v>28500.0</v>
      </c>
      <c r="L2" s="76"/>
      <c r="M2" s="79">
        <v>28500.0</v>
      </c>
      <c r="N2" s="79">
        <v>28500.0</v>
      </c>
      <c r="O2" s="79">
        <v>28500.0</v>
      </c>
      <c r="P2" s="79">
        <v>28500.0</v>
      </c>
      <c r="Q2" s="79">
        <v>42700.0</v>
      </c>
      <c r="R2" s="79">
        <v>28500.0</v>
      </c>
      <c r="S2" s="76"/>
      <c r="T2" s="79">
        <v>28500.0</v>
      </c>
      <c r="U2" s="79">
        <v>28500.0</v>
      </c>
      <c r="V2" s="79">
        <v>26500.0</v>
      </c>
      <c r="W2" s="79">
        <v>28500.0</v>
      </c>
      <c r="X2" s="79">
        <v>42700.0</v>
      </c>
      <c r="Y2" s="73"/>
      <c r="Z2" s="79">
        <v>28500.0</v>
      </c>
      <c r="AA2" s="76"/>
      <c r="AB2" s="79">
        <v>28500.0</v>
      </c>
      <c r="AC2" s="79">
        <v>28500.0</v>
      </c>
      <c r="AD2" s="79">
        <v>28500.0</v>
      </c>
      <c r="AE2" s="79">
        <v>28500.0</v>
      </c>
      <c r="AF2" s="80">
        <v>42700.0</v>
      </c>
      <c r="AG2" s="73"/>
      <c r="AH2" s="81">
        <v>28500.0</v>
      </c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</row>
    <row r="3">
      <c r="A3" s="74" t="s">
        <v>189</v>
      </c>
      <c r="B3" s="78">
        <v>25100.0</v>
      </c>
      <c r="C3" s="78">
        <v>34550.0</v>
      </c>
      <c r="D3" s="78">
        <v>25100.0</v>
      </c>
      <c r="E3" s="82"/>
      <c r="F3" s="83"/>
      <c r="G3" s="83"/>
      <c r="H3" s="83"/>
      <c r="I3" s="83"/>
      <c r="J3" s="79">
        <v>164800.0</v>
      </c>
      <c r="K3" s="83"/>
      <c r="L3" s="82"/>
      <c r="M3" s="79">
        <v>25100.0</v>
      </c>
      <c r="N3" s="79">
        <v>25100.0</v>
      </c>
      <c r="O3" s="79">
        <v>25100.0</v>
      </c>
      <c r="P3" s="79">
        <v>25100.0</v>
      </c>
      <c r="Q3" s="79">
        <v>39300.0</v>
      </c>
      <c r="R3" s="79">
        <v>25100.0</v>
      </c>
      <c r="S3" s="82"/>
      <c r="T3" s="79">
        <v>25100.0</v>
      </c>
      <c r="U3" s="79">
        <v>25100.0</v>
      </c>
      <c r="V3" s="79">
        <v>25100.0</v>
      </c>
      <c r="W3" s="79">
        <v>25100.0</v>
      </c>
      <c r="X3" s="79">
        <v>39300.0</v>
      </c>
      <c r="Y3" s="73"/>
      <c r="Z3" s="79">
        <v>25100.0</v>
      </c>
      <c r="AA3" s="82"/>
      <c r="AB3" s="79">
        <v>25100.0</v>
      </c>
      <c r="AC3" s="79">
        <v>139700.0</v>
      </c>
      <c r="AD3" s="83"/>
      <c r="AE3" s="83"/>
      <c r="AF3" s="84"/>
      <c r="AG3" s="73"/>
      <c r="AH3" s="8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</row>
    <row r="4">
      <c r="A4" s="74" t="s">
        <v>190</v>
      </c>
      <c r="B4" s="83"/>
      <c r="C4" s="78">
        <v>9450.0</v>
      </c>
      <c r="D4" s="78">
        <v>126000.0</v>
      </c>
      <c r="E4" s="82"/>
      <c r="F4" s="83"/>
      <c r="G4" s="83"/>
      <c r="H4" s="79">
        <v>14200.0</v>
      </c>
      <c r="I4" s="83"/>
      <c r="J4" s="83"/>
      <c r="K4" s="79">
        <v>156000.0</v>
      </c>
      <c r="L4" s="82"/>
      <c r="M4" s="83"/>
      <c r="N4" s="83"/>
      <c r="O4" s="83"/>
      <c r="P4" s="83"/>
      <c r="Q4" s="79">
        <v>14200.0</v>
      </c>
      <c r="R4" s="79">
        <v>156000.0</v>
      </c>
      <c r="S4" s="82"/>
      <c r="T4" s="83"/>
      <c r="U4" s="83"/>
      <c r="V4" s="83"/>
      <c r="W4" s="83"/>
      <c r="X4" s="79">
        <v>12200.0</v>
      </c>
      <c r="Y4" s="73"/>
      <c r="Z4" s="79">
        <v>156000.0</v>
      </c>
      <c r="AA4" s="82"/>
      <c r="AB4" s="83"/>
      <c r="AC4" s="83"/>
      <c r="AD4" s="83"/>
      <c r="AE4" s="83"/>
      <c r="AF4" s="80">
        <v>14200.0</v>
      </c>
      <c r="AG4" s="73"/>
      <c r="AH4" s="81">
        <v>156000.0</v>
      </c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</row>
    <row r="5">
      <c r="A5" s="74"/>
      <c r="B5" s="83"/>
      <c r="C5" s="78"/>
      <c r="D5" s="78"/>
      <c r="E5" s="82"/>
      <c r="F5" s="83"/>
      <c r="G5" s="83"/>
      <c r="H5" s="83"/>
      <c r="I5" s="83"/>
      <c r="J5" s="79"/>
      <c r="K5" s="83"/>
      <c r="L5" s="82"/>
      <c r="M5" s="83"/>
      <c r="N5" s="83"/>
      <c r="O5" s="83"/>
      <c r="P5" s="83"/>
      <c r="Q5" s="79"/>
      <c r="R5" s="83"/>
      <c r="S5" s="82"/>
      <c r="T5" s="83"/>
      <c r="U5" s="83"/>
      <c r="V5" s="83"/>
      <c r="W5" s="83"/>
      <c r="X5" s="83"/>
      <c r="Y5" s="73"/>
      <c r="Z5" s="83"/>
      <c r="AA5" s="82"/>
      <c r="AB5" s="83"/>
      <c r="AC5" s="83"/>
      <c r="AD5" s="83"/>
      <c r="AE5" s="83"/>
      <c r="AF5" s="84"/>
      <c r="AG5" s="73"/>
      <c r="AH5" s="8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</row>
    <row r="6">
      <c r="A6" s="74" t="s">
        <v>191</v>
      </c>
      <c r="B6" s="83"/>
      <c r="C6" s="78">
        <v>39450.0</v>
      </c>
      <c r="D6" s="78">
        <v>30000.0</v>
      </c>
      <c r="E6" s="82"/>
      <c r="F6" s="83"/>
      <c r="G6" s="83"/>
      <c r="H6" s="83"/>
      <c r="I6" s="83"/>
      <c r="J6" s="79">
        <v>14200.0</v>
      </c>
      <c r="K6" s="83"/>
      <c r="L6" s="82"/>
      <c r="M6" s="83"/>
      <c r="N6" s="83"/>
      <c r="O6" s="83"/>
      <c r="P6" s="83"/>
      <c r="Q6" s="79">
        <v>14200.0</v>
      </c>
      <c r="R6" s="83"/>
      <c r="S6" s="82"/>
      <c r="T6" s="83"/>
      <c r="U6" s="83"/>
      <c r="V6" s="83"/>
      <c r="W6" s="83"/>
      <c r="X6" s="79">
        <v>11200.0</v>
      </c>
      <c r="Y6" s="73"/>
      <c r="Z6" s="83"/>
      <c r="AA6" s="82"/>
      <c r="AB6" s="79">
        <v>100000.0</v>
      </c>
      <c r="AC6" s="83"/>
      <c r="AD6" s="83"/>
      <c r="AE6" s="83"/>
      <c r="AF6" s="80">
        <v>14200.0</v>
      </c>
      <c r="AG6" s="73"/>
      <c r="AH6" s="8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</row>
    <row r="7">
      <c r="A7" s="74" t="s">
        <v>192</v>
      </c>
      <c r="B7" s="83"/>
      <c r="C7" s="78">
        <v>9450.0</v>
      </c>
      <c r="D7" s="83"/>
      <c r="E7" s="82"/>
      <c r="F7" s="83"/>
      <c r="G7" s="83"/>
      <c r="H7" s="83"/>
      <c r="I7" s="83"/>
      <c r="J7" s="79">
        <v>14200.0</v>
      </c>
      <c r="K7" s="83"/>
      <c r="L7" s="82"/>
      <c r="M7" s="83"/>
      <c r="N7" s="83"/>
      <c r="O7" s="83"/>
      <c r="P7" s="83"/>
      <c r="Q7" s="79">
        <v>14200.0</v>
      </c>
      <c r="R7" s="83"/>
      <c r="S7" s="82"/>
      <c r="T7" s="83"/>
      <c r="U7" s="83"/>
      <c r="V7" s="83"/>
      <c r="W7" s="83"/>
      <c r="X7" s="79">
        <v>12200.0</v>
      </c>
      <c r="Y7" s="73"/>
      <c r="Z7" s="83"/>
      <c r="AA7" s="82"/>
      <c r="AB7" s="83"/>
      <c r="AC7" s="83"/>
      <c r="AD7" s="83"/>
      <c r="AE7" s="83"/>
      <c r="AF7" s="80">
        <v>14200.0</v>
      </c>
      <c r="AG7" s="73"/>
      <c r="AH7" s="8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</row>
    <row r="8">
      <c r="A8" s="74" t="s">
        <v>193</v>
      </c>
      <c r="B8" s="83"/>
      <c r="C8" s="78">
        <v>141950.0</v>
      </c>
      <c r="D8" s="83"/>
      <c r="E8" s="82"/>
      <c r="F8" s="83"/>
      <c r="G8" s="83"/>
      <c r="H8" s="83"/>
      <c r="I8" s="83"/>
      <c r="J8" s="79">
        <v>179800.0</v>
      </c>
      <c r="K8" s="83"/>
      <c r="L8" s="82"/>
      <c r="M8" s="83"/>
      <c r="N8" s="83"/>
      <c r="O8" s="83"/>
      <c r="P8" s="83"/>
      <c r="Q8" s="79">
        <v>179200.0</v>
      </c>
      <c r="R8" s="83"/>
      <c r="S8" s="82"/>
      <c r="T8" s="83"/>
      <c r="U8" s="83"/>
      <c r="V8" s="83"/>
      <c r="W8" s="83"/>
      <c r="X8" s="79">
        <v>177200.0</v>
      </c>
      <c r="Y8" s="73"/>
      <c r="Z8" s="83"/>
      <c r="AA8" s="82"/>
      <c r="AB8" s="83"/>
      <c r="AC8" s="83"/>
      <c r="AD8" s="83"/>
      <c r="AE8" s="83"/>
      <c r="AF8" s="80">
        <v>179200.0</v>
      </c>
      <c r="AG8" s="73"/>
      <c r="AH8" s="8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</row>
    <row r="9">
      <c r="A9" s="74" t="s">
        <v>194</v>
      </c>
      <c r="B9" s="83"/>
      <c r="C9" s="83"/>
      <c r="D9" s="83"/>
      <c r="E9" s="82"/>
      <c r="F9" s="83"/>
      <c r="G9" s="78">
        <v>14200.0</v>
      </c>
      <c r="H9" s="83"/>
      <c r="I9" s="83"/>
      <c r="J9" s="83"/>
      <c r="K9" s="79">
        <v>157200.0</v>
      </c>
      <c r="L9" s="82"/>
      <c r="M9" s="83"/>
      <c r="N9" s="79">
        <v>14200.0</v>
      </c>
      <c r="O9" s="83"/>
      <c r="P9" s="83"/>
      <c r="Q9" s="79" t="s">
        <v>195</v>
      </c>
      <c r="R9" s="83"/>
      <c r="S9" s="82"/>
      <c r="T9" s="83"/>
      <c r="U9" s="79">
        <v>14200.0</v>
      </c>
      <c r="V9" s="79">
        <v>52400.0</v>
      </c>
      <c r="W9" s="83"/>
      <c r="X9" s="83"/>
      <c r="Y9" s="73"/>
      <c r="Z9" s="79">
        <v>157200.0</v>
      </c>
      <c r="AA9" s="82"/>
      <c r="AB9" s="83"/>
      <c r="AC9" s="79">
        <v>40400.0</v>
      </c>
      <c r="AD9" s="83"/>
      <c r="AE9" s="83"/>
      <c r="AF9" s="84"/>
      <c r="AG9" s="73"/>
      <c r="AH9" s="8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</row>
    <row r="10">
      <c r="A10" s="74" t="s">
        <v>196</v>
      </c>
      <c r="B10" s="75">
        <v>41000.0</v>
      </c>
      <c r="C10" s="75">
        <v>26000.0</v>
      </c>
      <c r="D10" s="77"/>
      <c r="E10" s="82"/>
      <c r="F10" s="77">
        <v>39000.0</v>
      </c>
      <c r="G10" s="78">
        <v>41000.0</v>
      </c>
      <c r="H10" s="79">
        <v>26000.0</v>
      </c>
      <c r="I10" s="79">
        <v>41000.0</v>
      </c>
      <c r="J10" s="79">
        <v>26000.0</v>
      </c>
      <c r="K10" s="83"/>
      <c r="L10" s="82"/>
      <c r="M10" s="79">
        <v>39000.0</v>
      </c>
      <c r="N10" s="79">
        <v>41000.0</v>
      </c>
      <c r="O10" s="79">
        <v>26000.0</v>
      </c>
      <c r="P10" s="79">
        <v>41000.0</v>
      </c>
      <c r="Q10" s="79">
        <v>26000.0</v>
      </c>
      <c r="R10" s="83"/>
      <c r="S10" s="82"/>
      <c r="T10" s="79">
        <v>39000.0</v>
      </c>
      <c r="U10" s="79">
        <v>41000.0</v>
      </c>
      <c r="V10" s="79">
        <v>24000.0</v>
      </c>
      <c r="W10" s="79">
        <v>41000.0</v>
      </c>
      <c r="X10" s="79">
        <v>26000.0</v>
      </c>
      <c r="Y10" s="73"/>
      <c r="Z10" s="83"/>
      <c r="AA10" s="82"/>
      <c r="AB10" s="79">
        <v>39000.0</v>
      </c>
      <c r="AC10" s="79">
        <v>41000.0</v>
      </c>
      <c r="AD10" s="79">
        <v>26000.0</v>
      </c>
      <c r="AE10" s="79">
        <v>41000.0</v>
      </c>
      <c r="AF10" s="80">
        <v>26000.0</v>
      </c>
      <c r="AG10" s="73"/>
      <c r="AH10" s="8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</row>
    <row r="11">
      <c r="A11" s="74" t="s">
        <v>197</v>
      </c>
      <c r="B11" s="75">
        <v>26000.0</v>
      </c>
      <c r="C11" s="75">
        <v>35450.0</v>
      </c>
      <c r="D11" s="75">
        <v>26000.0</v>
      </c>
      <c r="E11" s="82"/>
      <c r="F11" s="77">
        <v>26000.0</v>
      </c>
      <c r="G11" s="78">
        <v>26000.0</v>
      </c>
      <c r="H11" s="79">
        <v>26000.0</v>
      </c>
      <c r="I11" s="79">
        <v>26000.0</v>
      </c>
      <c r="J11" s="79">
        <v>40200.0</v>
      </c>
      <c r="K11" s="79">
        <v>26000.0</v>
      </c>
      <c r="L11" s="82"/>
      <c r="M11" s="79">
        <v>26000.0</v>
      </c>
      <c r="N11" s="79">
        <v>26000.0</v>
      </c>
      <c r="O11" s="79">
        <v>26000.0</v>
      </c>
      <c r="P11" s="79">
        <v>26000.0</v>
      </c>
      <c r="Q11" s="83"/>
      <c r="R11" s="83"/>
      <c r="S11" s="82"/>
      <c r="T11" s="79"/>
      <c r="U11" s="83"/>
      <c r="V11" s="83"/>
      <c r="W11" s="83"/>
      <c r="X11" s="83"/>
      <c r="Y11" s="73"/>
      <c r="Z11" s="83"/>
      <c r="AA11" s="82"/>
      <c r="AB11" s="83"/>
      <c r="AC11" s="83"/>
      <c r="AD11" s="83"/>
      <c r="AE11" s="85"/>
      <c r="AF11" s="84"/>
      <c r="AG11" s="73"/>
      <c r="AH11" s="8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</row>
    <row r="12">
      <c r="A12" s="74" t="s">
        <v>198</v>
      </c>
      <c r="B12" s="75">
        <v>25100.0</v>
      </c>
      <c r="C12" s="75">
        <v>34550.0</v>
      </c>
      <c r="D12" s="75">
        <v>25100.0</v>
      </c>
      <c r="E12" s="82"/>
      <c r="F12" s="77">
        <v>25100.0</v>
      </c>
      <c r="G12" s="78">
        <v>25100.0</v>
      </c>
      <c r="H12" s="79">
        <v>25100.0</v>
      </c>
      <c r="I12" s="79">
        <v>25100.0</v>
      </c>
      <c r="J12" s="79">
        <v>39300.0</v>
      </c>
      <c r="K12" s="79">
        <v>25100.0</v>
      </c>
      <c r="L12" s="82"/>
      <c r="M12" s="79">
        <v>25100.0</v>
      </c>
      <c r="N12" s="79">
        <v>25100.0</v>
      </c>
      <c r="O12" s="79">
        <v>25100.0</v>
      </c>
      <c r="P12" s="79">
        <v>25100.0</v>
      </c>
      <c r="Q12" s="79">
        <v>39300.0</v>
      </c>
      <c r="R12" s="79">
        <v>27000.0</v>
      </c>
      <c r="S12" s="82"/>
      <c r="T12" s="79">
        <v>27000.0</v>
      </c>
      <c r="U12" s="79">
        <v>27000.0</v>
      </c>
      <c r="V12" s="79">
        <v>25000.0</v>
      </c>
      <c r="W12" s="79">
        <v>27000.0</v>
      </c>
      <c r="X12" s="79">
        <v>41200.0</v>
      </c>
      <c r="Y12" s="73"/>
      <c r="Z12" s="79">
        <v>27000.0</v>
      </c>
      <c r="AA12" s="82"/>
      <c r="AB12" s="79">
        <v>27000.0</v>
      </c>
      <c r="AC12" s="79">
        <v>27000.0</v>
      </c>
      <c r="AD12" s="79">
        <v>27000.0</v>
      </c>
      <c r="AE12" s="79">
        <v>27000.0</v>
      </c>
      <c r="AF12" s="80">
        <v>41200.0</v>
      </c>
      <c r="AG12" s="73"/>
      <c r="AH12" s="81">
        <v>27000.0</v>
      </c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</row>
    <row r="13">
      <c r="A13" s="86" t="s">
        <v>73</v>
      </c>
      <c r="B13" s="77"/>
      <c r="C13" s="77"/>
      <c r="D13" s="77"/>
      <c r="E13" s="82"/>
      <c r="F13" s="77"/>
      <c r="G13" s="78"/>
      <c r="H13" s="79"/>
      <c r="I13" s="79"/>
      <c r="J13" s="79"/>
      <c r="K13" s="79"/>
      <c r="L13" s="82"/>
      <c r="M13" s="79">
        <v>44000.0</v>
      </c>
      <c r="N13" s="83"/>
      <c r="O13" s="83"/>
      <c r="P13" s="79">
        <v>38500.0</v>
      </c>
      <c r="Q13" s="83"/>
      <c r="R13" s="83"/>
      <c r="S13" s="82"/>
      <c r="T13" s="83"/>
      <c r="U13" s="83"/>
      <c r="V13" s="79">
        <v>30000.0</v>
      </c>
      <c r="W13" s="83"/>
      <c r="X13" s="79">
        <v>30000.0</v>
      </c>
      <c r="Y13" s="73"/>
      <c r="Z13" s="83"/>
      <c r="AA13" s="82"/>
      <c r="AB13" s="83"/>
      <c r="AC13" s="79">
        <v>13000.0</v>
      </c>
      <c r="AD13" s="83"/>
      <c r="AE13" s="79">
        <v>32000.0</v>
      </c>
      <c r="AF13" s="80">
        <v>16000.0</v>
      </c>
      <c r="AG13" s="73"/>
      <c r="AH13" s="8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</row>
    <row r="14">
      <c r="A14" s="86" t="s">
        <v>199</v>
      </c>
      <c r="B14" s="77"/>
      <c r="C14" s="77"/>
      <c r="D14" s="77"/>
      <c r="E14" s="87"/>
      <c r="F14" s="77"/>
      <c r="G14" s="78"/>
      <c r="H14" s="79"/>
      <c r="I14" s="79"/>
      <c r="J14" s="79"/>
      <c r="K14" s="79"/>
      <c r="L14" s="87"/>
      <c r="M14" s="79">
        <v>12000.0</v>
      </c>
      <c r="N14" s="79">
        <v>6000.0</v>
      </c>
      <c r="O14" s="79">
        <v>7500.0</v>
      </c>
      <c r="P14" s="79">
        <v>7500.0</v>
      </c>
      <c r="Q14" s="79">
        <v>12000.0</v>
      </c>
      <c r="R14" s="83"/>
      <c r="S14" s="87"/>
      <c r="T14" s="79">
        <v>13500.0</v>
      </c>
      <c r="U14" s="79">
        <v>9000.0</v>
      </c>
      <c r="V14" s="79">
        <v>9000.0</v>
      </c>
      <c r="W14" s="79">
        <v>12000.0</v>
      </c>
      <c r="X14" s="79">
        <v>10500.0</v>
      </c>
      <c r="Y14" s="73"/>
      <c r="Z14" s="79">
        <v>7500.0</v>
      </c>
      <c r="AA14" s="82"/>
      <c r="AB14" s="79">
        <v>15000.0</v>
      </c>
      <c r="AC14" s="79">
        <v>12000.0</v>
      </c>
      <c r="AD14" s="79">
        <v>10500.0</v>
      </c>
      <c r="AE14" s="79">
        <v>12000.0</v>
      </c>
      <c r="AF14" s="80">
        <v>13500.0</v>
      </c>
      <c r="AG14" s="73"/>
      <c r="AH14" s="81">
        <v>7500.0</v>
      </c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</row>
    <row r="15">
      <c r="A15" s="86" t="s">
        <v>200</v>
      </c>
      <c r="B15" s="77"/>
      <c r="C15" s="77"/>
      <c r="D15" s="77"/>
      <c r="E15" s="88"/>
      <c r="F15" s="77"/>
      <c r="G15" s="78"/>
      <c r="H15" s="79"/>
      <c r="I15" s="79"/>
      <c r="J15" s="79"/>
      <c r="K15" s="79"/>
      <c r="L15" s="88"/>
      <c r="M15" s="79"/>
      <c r="N15" s="79"/>
      <c r="O15" s="79"/>
      <c r="P15" s="79"/>
      <c r="Q15" s="79"/>
      <c r="R15" s="83"/>
      <c r="S15" s="88"/>
      <c r="T15" s="79"/>
      <c r="U15" s="79"/>
      <c r="V15" s="79"/>
      <c r="W15" s="79"/>
      <c r="X15" s="79"/>
      <c r="Y15" s="73"/>
      <c r="Z15" s="79"/>
      <c r="AA15" s="87"/>
      <c r="AB15" s="79"/>
      <c r="AC15" s="79"/>
      <c r="AD15" s="79"/>
      <c r="AE15" s="79">
        <v>18400.0</v>
      </c>
      <c r="AF15" s="80">
        <v>18200.0</v>
      </c>
      <c r="AG15" s="73"/>
      <c r="AH15" s="8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</row>
    <row r="16">
      <c r="A16" s="74" t="s">
        <v>201</v>
      </c>
      <c r="B16" s="89">
        <f t="shared" ref="B16:D16" si="1">SUM(B2:B14)</f>
        <v>145700</v>
      </c>
      <c r="C16" s="89">
        <f t="shared" si="1"/>
        <v>368800</v>
      </c>
      <c r="D16" s="89">
        <f t="shared" si="1"/>
        <v>260700</v>
      </c>
      <c r="E16" s="83">
        <f>SUM(B16:D16)</f>
        <v>775200</v>
      </c>
      <c r="F16" s="89">
        <f t="shared" ref="F16:K16" si="2">SUM(F2:F12)</f>
        <v>118600</v>
      </c>
      <c r="G16" s="89">
        <f t="shared" si="2"/>
        <v>134800</v>
      </c>
      <c r="H16" s="90">
        <f t="shared" si="2"/>
        <v>119800</v>
      </c>
      <c r="I16" s="90">
        <f t="shared" si="2"/>
        <v>120600</v>
      </c>
      <c r="J16" s="90">
        <f t="shared" si="2"/>
        <v>521200</v>
      </c>
      <c r="K16" s="90">
        <f t="shared" si="2"/>
        <v>392800</v>
      </c>
      <c r="L16" s="83">
        <f>SUM(F16:K16)</f>
        <v>1407800</v>
      </c>
      <c r="M16" s="90">
        <v>199700.0</v>
      </c>
      <c r="N16" s="90">
        <f t="shared" ref="N16:R16" si="3">SUM(N2:N14)</f>
        <v>165900</v>
      </c>
      <c r="O16" s="90">
        <f t="shared" si="3"/>
        <v>138200</v>
      </c>
      <c r="P16" s="90">
        <f t="shared" si="3"/>
        <v>191700</v>
      </c>
      <c r="Q16" s="90">
        <f t="shared" si="3"/>
        <v>381100</v>
      </c>
      <c r="R16" s="90">
        <f t="shared" si="3"/>
        <v>236600</v>
      </c>
      <c r="S16" s="83">
        <f>SUM(M16:R16)</f>
        <v>1313200</v>
      </c>
      <c r="T16" s="90">
        <f t="shared" ref="T16:X16" si="4">SUM(T2:T14)</f>
        <v>133100</v>
      </c>
      <c r="U16" s="90">
        <f t="shared" si="4"/>
        <v>144800</v>
      </c>
      <c r="V16" s="90">
        <f t="shared" si="4"/>
        <v>192000</v>
      </c>
      <c r="W16" s="90">
        <f t="shared" si="4"/>
        <v>133600</v>
      </c>
      <c r="X16" s="90">
        <f t="shared" si="4"/>
        <v>402500</v>
      </c>
      <c r="Y16" s="73"/>
      <c r="Z16" s="90">
        <f>SUM(Z2:Z14)</f>
        <v>401300</v>
      </c>
      <c r="AA16" s="83">
        <f>SUM(T16:Z16)</f>
        <v>1407300</v>
      </c>
      <c r="AB16" s="90">
        <f t="shared" ref="AB16:AD16" si="5">SUM(AB2:AB14)</f>
        <v>234600</v>
      </c>
      <c r="AC16" s="90">
        <f t="shared" si="5"/>
        <v>301600</v>
      </c>
      <c r="AD16" s="90">
        <f t="shared" si="5"/>
        <v>92000</v>
      </c>
      <c r="AE16" s="90">
        <f t="shared" ref="AE16:AF16" si="6">SUM(AE2:AE15)</f>
        <v>158900</v>
      </c>
      <c r="AF16" s="91">
        <f t="shared" si="6"/>
        <v>379400</v>
      </c>
      <c r="AG16" s="73"/>
      <c r="AH16" s="92">
        <f>SUM(AH2:AH15)</f>
        <v>219000</v>
      </c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</row>
    <row r="17">
      <c r="A17" s="74" t="s">
        <v>202</v>
      </c>
      <c r="B17" s="77"/>
      <c r="C17" s="75">
        <v>7000.0</v>
      </c>
      <c r="D17" s="77"/>
      <c r="E17" s="76"/>
      <c r="F17" s="77">
        <v>6000.0</v>
      </c>
      <c r="G17" s="83"/>
      <c r="H17" s="83"/>
      <c r="I17" s="83"/>
      <c r="J17" s="79">
        <v>5800.0</v>
      </c>
      <c r="K17" s="83"/>
      <c r="L17" s="76"/>
      <c r="M17" s="83"/>
      <c r="N17" s="79">
        <v>4000.0</v>
      </c>
      <c r="O17" s="83"/>
      <c r="P17" s="83"/>
      <c r="Q17" s="79">
        <v>151800.0</v>
      </c>
      <c r="R17" s="83"/>
      <c r="S17" s="76"/>
      <c r="T17" s="83"/>
      <c r="U17" s="83"/>
      <c r="V17" s="79">
        <v>28000.0</v>
      </c>
      <c r="W17" s="83"/>
      <c r="X17" s="79">
        <v>123800.0</v>
      </c>
      <c r="Y17" s="93" t="s">
        <v>203</v>
      </c>
      <c r="Z17" s="83"/>
      <c r="AA17" s="76"/>
      <c r="AB17" s="83"/>
      <c r="AC17" s="83"/>
      <c r="AD17" s="83"/>
      <c r="AE17" s="83"/>
      <c r="AF17" s="94" t="s">
        <v>203</v>
      </c>
      <c r="AG17" s="95">
        <v>151800.0</v>
      </c>
      <c r="AH17" s="8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</row>
    <row r="18">
      <c r="A18" s="86" t="s">
        <v>204</v>
      </c>
      <c r="B18" s="77"/>
      <c r="C18" s="77"/>
      <c r="D18" s="77"/>
      <c r="E18" s="82"/>
      <c r="F18" s="77"/>
      <c r="G18" s="78">
        <v>21000.0</v>
      </c>
      <c r="H18" s="79">
        <v>18000.0</v>
      </c>
      <c r="I18" s="79">
        <v>21000.0</v>
      </c>
      <c r="J18" s="79">
        <v>30440.0</v>
      </c>
      <c r="K18" s="83"/>
      <c r="L18" s="82"/>
      <c r="M18" s="79">
        <v>21000.0</v>
      </c>
      <c r="N18" s="79">
        <v>25000.0</v>
      </c>
      <c r="O18" s="79">
        <v>23000.0</v>
      </c>
      <c r="P18" s="79">
        <v>23000.0</v>
      </c>
      <c r="Q18" s="79">
        <v>34800.0</v>
      </c>
      <c r="R18" s="83"/>
      <c r="S18" s="82"/>
      <c r="T18" s="79">
        <v>23000.0</v>
      </c>
      <c r="U18" s="79">
        <v>23000.0</v>
      </c>
      <c r="V18" s="79">
        <v>23000.0</v>
      </c>
      <c r="W18" s="79">
        <v>23000.0</v>
      </c>
      <c r="X18" s="79">
        <v>34800.0</v>
      </c>
      <c r="Y18" s="93" t="s">
        <v>205</v>
      </c>
      <c r="Z18" s="83"/>
      <c r="AA18" s="82"/>
      <c r="AB18" s="79">
        <v>23000.0</v>
      </c>
      <c r="AC18" s="79">
        <v>23000.0</v>
      </c>
      <c r="AD18" s="79">
        <v>23000.0</v>
      </c>
      <c r="AE18" s="79">
        <v>23000.0</v>
      </c>
      <c r="AF18" s="80">
        <v>34800.0</v>
      </c>
      <c r="AG18" s="73"/>
      <c r="AH18" s="8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</row>
    <row r="19">
      <c r="A19" s="74" t="s">
        <v>206</v>
      </c>
      <c r="B19" s="75">
        <v>25100.0</v>
      </c>
      <c r="C19" s="75">
        <v>31580.0</v>
      </c>
      <c r="D19" s="77"/>
      <c r="E19" s="82"/>
      <c r="F19" s="77">
        <v>25100.0</v>
      </c>
      <c r="G19" s="78">
        <v>27500.0</v>
      </c>
      <c r="H19" s="79">
        <v>25000.0</v>
      </c>
      <c r="I19" s="79">
        <v>27500.0</v>
      </c>
      <c r="J19" s="79">
        <v>37500.0</v>
      </c>
      <c r="K19" s="83"/>
      <c r="L19" s="82"/>
      <c r="M19" s="79">
        <v>25500.0</v>
      </c>
      <c r="N19" s="83"/>
      <c r="O19" s="79">
        <v>24900.0</v>
      </c>
      <c r="P19" s="79">
        <v>22650.0</v>
      </c>
      <c r="Q19" s="79">
        <v>36300.0</v>
      </c>
      <c r="R19" s="83"/>
      <c r="S19" s="82"/>
      <c r="T19" s="83"/>
      <c r="U19" s="79">
        <v>25600.0</v>
      </c>
      <c r="V19" s="79">
        <v>27500.0</v>
      </c>
      <c r="W19" s="79">
        <v>25200.0</v>
      </c>
      <c r="X19" s="79">
        <v>37600.0</v>
      </c>
      <c r="Y19" s="93" t="s">
        <v>207</v>
      </c>
      <c r="Z19" s="83"/>
      <c r="AA19" s="82"/>
      <c r="AB19" s="79">
        <v>25400.0</v>
      </c>
      <c r="AC19" s="79">
        <v>27500.0</v>
      </c>
      <c r="AD19" s="79">
        <v>25200.0</v>
      </c>
      <c r="AE19" s="79">
        <v>27500.0</v>
      </c>
      <c r="AF19" s="96" t="s">
        <v>208</v>
      </c>
      <c r="AG19" s="97">
        <v>37500.0</v>
      </c>
      <c r="AH19" s="8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</row>
    <row r="20">
      <c r="A20" s="74" t="s">
        <v>209</v>
      </c>
      <c r="B20" s="75">
        <v>26500.0</v>
      </c>
      <c r="C20" s="75">
        <v>33580.0</v>
      </c>
      <c r="D20" s="77"/>
      <c r="E20" s="82"/>
      <c r="F20" s="77">
        <v>26500.0</v>
      </c>
      <c r="G20" s="78">
        <v>26500.0</v>
      </c>
      <c r="H20" s="79">
        <v>26500.0</v>
      </c>
      <c r="I20" s="79">
        <v>26500.0</v>
      </c>
      <c r="J20" s="79">
        <v>38300.0</v>
      </c>
      <c r="K20" s="83"/>
      <c r="L20" s="82"/>
      <c r="M20" s="79">
        <v>26500.0</v>
      </c>
      <c r="N20" s="79">
        <v>26500.0</v>
      </c>
      <c r="O20" s="79">
        <v>26500.0</v>
      </c>
      <c r="P20" s="79">
        <v>26500.0</v>
      </c>
      <c r="Q20" s="79">
        <v>38300.0</v>
      </c>
      <c r="R20" s="83"/>
      <c r="S20" s="82"/>
      <c r="T20" s="79">
        <v>26500.0</v>
      </c>
      <c r="U20" s="79">
        <v>26500.0</v>
      </c>
      <c r="V20" s="79">
        <v>24500.0</v>
      </c>
      <c r="W20" s="79">
        <v>26500.0</v>
      </c>
      <c r="X20" s="79">
        <v>38300.0</v>
      </c>
      <c r="Y20" s="93" t="s">
        <v>210</v>
      </c>
      <c r="Z20" s="83"/>
      <c r="AA20" s="82"/>
      <c r="AB20" s="79">
        <v>26500.0</v>
      </c>
      <c r="AC20" s="79">
        <v>26500.0</v>
      </c>
      <c r="AD20" s="79">
        <v>26500.0</v>
      </c>
      <c r="AE20" s="79">
        <v>26500.0</v>
      </c>
      <c r="AF20" s="80">
        <v>38300.0</v>
      </c>
      <c r="AG20" s="73"/>
      <c r="AH20" s="8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</row>
    <row r="21">
      <c r="A21" s="74" t="s">
        <v>211</v>
      </c>
      <c r="B21" s="75">
        <v>25000.0</v>
      </c>
      <c r="C21" s="75">
        <v>30080.0</v>
      </c>
      <c r="D21" s="77"/>
      <c r="E21" s="82"/>
      <c r="F21" s="77">
        <f>25000+2360</f>
        <v>27360</v>
      </c>
      <c r="G21" s="78"/>
      <c r="I21" s="98"/>
      <c r="K21" s="83"/>
      <c r="L21" s="82"/>
      <c r="M21" s="83"/>
      <c r="N21" s="83"/>
      <c r="O21" s="83"/>
      <c r="P21" s="83"/>
      <c r="Q21" s="83"/>
      <c r="R21" s="83"/>
      <c r="S21" s="82"/>
      <c r="T21" s="83"/>
      <c r="U21" s="83"/>
      <c r="V21" s="83"/>
      <c r="W21" s="83"/>
      <c r="X21" s="83"/>
      <c r="Y21" s="73"/>
      <c r="Z21" s="83"/>
      <c r="AA21" s="82"/>
      <c r="AB21" s="83"/>
      <c r="AC21" s="83"/>
      <c r="AD21" s="83"/>
      <c r="AE21" s="83"/>
      <c r="AF21" s="84"/>
      <c r="AG21" s="73"/>
      <c r="AH21" s="8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</row>
    <row r="22">
      <c r="A22" s="88" t="s">
        <v>212</v>
      </c>
      <c r="B22" s="83"/>
      <c r="C22" s="78">
        <v>54280.0</v>
      </c>
      <c r="D22" s="83"/>
      <c r="E22" s="87"/>
      <c r="F22" s="83"/>
      <c r="G22" s="83"/>
      <c r="H22" s="83"/>
      <c r="I22" s="83"/>
      <c r="J22" s="79">
        <v>103840.0</v>
      </c>
      <c r="K22" s="83"/>
      <c r="L22" s="87"/>
      <c r="M22" s="83"/>
      <c r="N22" s="83"/>
      <c r="O22" s="83"/>
      <c r="P22" s="83"/>
      <c r="Q22" s="79">
        <v>131800.0</v>
      </c>
      <c r="R22" s="83"/>
      <c r="S22" s="87"/>
      <c r="T22" s="83"/>
      <c r="U22" s="83"/>
      <c r="V22" s="83"/>
      <c r="W22" s="83"/>
      <c r="X22" s="79">
        <v>131800.0</v>
      </c>
      <c r="Y22" s="93" t="s">
        <v>213</v>
      </c>
      <c r="Z22" s="83"/>
      <c r="AA22" s="87"/>
      <c r="AB22" s="83"/>
      <c r="AC22" s="83"/>
      <c r="AD22" s="83"/>
      <c r="AE22" s="83"/>
      <c r="AF22" s="96" t="s">
        <v>208</v>
      </c>
      <c r="AG22" s="97">
        <v>131800.0</v>
      </c>
      <c r="AH22" s="8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</row>
    <row r="23">
      <c r="A23" s="88" t="s">
        <v>201</v>
      </c>
      <c r="B23" s="89">
        <f t="shared" ref="B23:C23" si="7">SUM(B17:B22)</f>
        <v>76600</v>
      </c>
      <c r="C23" s="89">
        <f t="shared" si="7"/>
        <v>156520</v>
      </c>
      <c r="D23" s="89"/>
      <c r="E23" s="83">
        <f>SUM(B23:D23)</f>
        <v>233120</v>
      </c>
      <c r="F23" s="89">
        <f t="shared" ref="F23:K23" si="8">SUM(F17:F22)</f>
        <v>84960</v>
      </c>
      <c r="G23" s="89">
        <f t="shared" si="8"/>
        <v>75000</v>
      </c>
      <c r="H23" s="90">
        <f t="shared" si="8"/>
        <v>69500</v>
      </c>
      <c r="I23" s="90">
        <f t="shared" si="8"/>
        <v>75000</v>
      </c>
      <c r="J23" s="90">
        <f t="shared" si="8"/>
        <v>215880</v>
      </c>
      <c r="K23" s="90">
        <f t="shared" si="8"/>
        <v>0</v>
      </c>
      <c r="L23" s="83">
        <f>SUM(F23:K23)</f>
        <v>520340</v>
      </c>
      <c r="M23" s="90">
        <f t="shared" ref="M23:R23" si="9">SUM(M17:M22)</f>
        <v>73000</v>
      </c>
      <c r="N23" s="90">
        <f t="shared" si="9"/>
        <v>55500</v>
      </c>
      <c r="O23" s="90">
        <f t="shared" si="9"/>
        <v>74400</v>
      </c>
      <c r="P23" s="90">
        <f t="shared" si="9"/>
        <v>72150</v>
      </c>
      <c r="Q23" s="90">
        <f t="shared" si="9"/>
        <v>393000</v>
      </c>
      <c r="R23" s="90">
        <f t="shared" si="9"/>
        <v>0</v>
      </c>
      <c r="S23" s="83">
        <f>SUM(M23:R23)</f>
        <v>668050</v>
      </c>
      <c r="T23" s="90">
        <f t="shared" ref="T23:X23" si="10">SUM(T17:T22)</f>
        <v>49500</v>
      </c>
      <c r="U23" s="90">
        <f t="shared" si="10"/>
        <v>75100</v>
      </c>
      <c r="V23" s="90">
        <f t="shared" si="10"/>
        <v>103000</v>
      </c>
      <c r="W23" s="90">
        <f t="shared" si="10"/>
        <v>74700</v>
      </c>
      <c r="X23" s="90">
        <f t="shared" si="10"/>
        <v>366300</v>
      </c>
      <c r="Y23" s="73"/>
      <c r="Z23" s="90">
        <f>SUM(Z17:Z22)</f>
        <v>0</v>
      </c>
      <c r="AA23" s="83">
        <f>SUM(T23:Z23)</f>
        <v>668600</v>
      </c>
      <c r="AB23" s="90">
        <f t="shared" ref="AB23:AF23" si="11">SUM(AB17:AB22)</f>
        <v>74900</v>
      </c>
      <c r="AC23" s="90">
        <f t="shared" si="11"/>
        <v>77000</v>
      </c>
      <c r="AD23" s="90">
        <f t="shared" si="11"/>
        <v>74700</v>
      </c>
      <c r="AE23" s="90">
        <f t="shared" si="11"/>
        <v>77000</v>
      </c>
      <c r="AF23" s="91">
        <f t="shared" si="11"/>
        <v>73100</v>
      </c>
      <c r="AG23" s="73"/>
      <c r="AH23" s="92">
        <f>SUM(AH17:AH22)</f>
        <v>0</v>
      </c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</row>
    <row r="24">
      <c r="A24" s="86" t="s">
        <v>11</v>
      </c>
      <c r="B24" s="99">
        <f>SUM(E16+E23)</f>
        <v>1008320</v>
      </c>
      <c r="C24" s="15"/>
      <c r="D24" s="15"/>
      <c r="E24" s="16"/>
      <c r="F24" s="99">
        <f>SUM(L16+L23)</f>
        <v>1928140</v>
      </c>
      <c r="G24" s="15"/>
      <c r="H24" s="15"/>
      <c r="I24" s="15"/>
      <c r="J24" s="15"/>
      <c r="K24" s="15"/>
      <c r="L24" s="16"/>
      <c r="M24" s="99">
        <f>SUM(S16+S23)</f>
        <v>1981250</v>
      </c>
      <c r="N24" s="15"/>
      <c r="O24" s="15"/>
      <c r="P24" s="15"/>
      <c r="Q24" s="15"/>
      <c r="R24" s="15"/>
      <c r="S24" s="16"/>
      <c r="T24" s="99">
        <f>SUM(AA16:AA23)</f>
        <v>2075900</v>
      </c>
      <c r="U24" s="15"/>
      <c r="V24" s="15"/>
      <c r="W24" s="15"/>
      <c r="X24" s="15"/>
      <c r="Y24" s="15"/>
      <c r="Z24" s="15"/>
      <c r="AA24" s="16"/>
      <c r="AB24" s="100"/>
      <c r="AC24" s="100"/>
      <c r="AD24" s="100"/>
      <c r="AE24" s="100"/>
      <c r="AF24" s="100"/>
      <c r="AG24" s="73"/>
      <c r="AH24" s="100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</row>
    <row r="25">
      <c r="A25" s="73"/>
      <c r="B25" s="100"/>
      <c r="C25" s="100"/>
      <c r="D25" s="100"/>
      <c r="E25" s="73"/>
      <c r="F25" s="100"/>
      <c r="G25" s="100"/>
      <c r="H25" s="100"/>
      <c r="I25" s="100"/>
      <c r="J25" s="100"/>
      <c r="K25" s="100"/>
      <c r="L25" s="73"/>
      <c r="M25" s="100"/>
      <c r="N25" s="100"/>
      <c r="O25" s="100"/>
      <c r="P25" s="100"/>
      <c r="Q25" s="100"/>
      <c r="R25" s="100"/>
      <c r="S25" s="73"/>
      <c r="T25" s="100"/>
      <c r="U25" s="100"/>
      <c r="V25" s="100"/>
      <c r="W25" s="100"/>
      <c r="X25" s="100"/>
      <c r="Y25" s="73"/>
      <c r="Z25" s="100"/>
      <c r="AA25" s="73"/>
      <c r="AB25" s="100"/>
      <c r="AC25" s="100"/>
      <c r="AD25" s="100"/>
      <c r="AE25" s="100"/>
      <c r="AF25" s="100"/>
      <c r="AG25" s="73"/>
      <c r="AH25" s="100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</row>
    <row r="26">
      <c r="A26" s="73"/>
      <c r="B26" s="100"/>
      <c r="C26" s="100"/>
      <c r="D26" s="100"/>
      <c r="E26" s="73"/>
      <c r="F26" s="100"/>
      <c r="G26" s="100"/>
      <c r="H26" s="100"/>
      <c r="I26" s="100"/>
      <c r="J26" s="100"/>
      <c r="K26" s="100"/>
      <c r="L26" s="73"/>
      <c r="M26" s="100"/>
      <c r="N26" s="100"/>
      <c r="O26" s="100"/>
      <c r="P26" s="100"/>
      <c r="Q26" s="100"/>
      <c r="R26" s="100"/>
      <c r="S26" s="73"/>
      <c r="T26" s="100"/>
      <c r="U26" s="100"/>
      <c r="V26" s="100"/>
      <c r="W26" s="100"/>
      <c r="X26" s="100"/>
      <c r="Y26" s="73"/>
      <c r="Z26" s="100"/>
      <c r="AA26" s="73"/>
      <c r="AB26" s="100"/>
      <c r="AC26" s="100"/>
      <c r="AD26" s="100"/>
      <c r="AE26" s="100"/>
      <c r="AF26" s="100"/>
      <c r="AG26" s="73"/>
      <c r="AH26" s="100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</row>
    <row r="27">
      <c r="A27" s="73"/>
      <c r="B27" s="100"/>
      <c r="C27" s="100"/>
      <c r="D27" s="100"/>
      <c r="E27" s="73"/>
      <c r="F27" s="100"/>
      <c r="G27" s="100"/>
      <c r="H27" s="100"/>
      <c r="I27" s="100"/>
      <c r="J27" s="100"/>
      <c r="K27" s="100"/>
      <c r="L27" s="73"/>
      <c r="M27" s="100"/>
      <c r="N27" s="100"/>
      <c r="O27" s="100"/>
      <c r="P27" s="100"/>
      <c r="Q27" s="100"/>
      <c r="R27" s="100"/>
      <c r="S27" s="73"/>
      <c r="T27" s="100"/>
      <c r="U27" s="100"/>
      <c r="V27" s="100"/>
      <c r="W27" s="100"/>
      <c r="X27" s="100"/>
      <c r="Y27" s="73"/>
      <c r="Z27" s="100"/>
      <c r="AA27" s="73"/>
      <c r="AB27" s="100"/>
      <c r="AC27" s="100"/>
      <c r="AD27" s="100"/>
      <c r="AE27" s="100"/>
      <c r="AF27" s="100"/>
      <c r="AG27" s="73"/>
      <c r="AH27" s="100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</row>
    <row r="28">
      <c r="A28" s="73"/>
      <c r="B28" s="100"/>
      <c r="C28" s="100"/>
      <c r="D28" s="100"/>
      <c r="E28" s="73"/>
      <c r="F28" s="100"/>
      <c r="G28" s="100"/>
      <c r="H28" s="100"/>
      <c r="I28" s="100"/>
      <c r="J28" s="100"/>
      <c r="K28" s="100"/>
      <c r="L28" s="73"/>
      <c r="M28" s="100"/>
      <c r="N28" s="100"/>
      <c r="O28" s="100"/>
      <c r="P28" s="100"/>
      <c r="Q28" s="100"/>
      <c r="R28" s="100"/>
      <c r="S28" s="73"/>
      <c r="T28" s="100"/>
      <c r="U28" s="100"/>
      <c r="V28" s="100"/>
      <c r="W28" s="100"/>
      <c r="X28" s="100"/>
      <c r="Y28" s="73"/>
      <c r="Z28" s="100"/>
      <c r="AA28" s="73"/>
      <c r="AB28" s="100"/>
      <c r="AC28" s="100"/>
      <c r="AD28" s="100"/>
      <c r="AE28" s="100"/>
      <c r="AF28" s="100"/>
      <c r="AG28" s="73"/>
      <c r="AH28" s="100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</row>
    <row r="29">
      <c r="A29" s="73"/>
      <c r="B29" s="100"/>
      <c r="C29" s="100"/>
      <c r="D29" s="100"/>
      <c r="E29" s="73"/>
      <c r="F29" s="100"/>
      <c r="G29" s="100"/>
      <c r="H29" s="100"/>
      <c r="I29" s="100"/>
      <c r="J29" s="100"/>
      <c r="K29" s="100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</row>
  </sheetData>
  <mergeCells count="12">
    <mergeCell ref="E17:E22"/>
    <mergeCell ref="B24:E24"/>
    <mergeCell ref="F24:L24"/>
    <mergeCell ref="M24:S24"/>
    <mergeCell ref="T24:AA24"/>
    <mergeCell ref="E2:E14"/>
    <mergeCell ref="L2:L14"/>
    <mergeCell ref="S2:S14"/>
    <mergeCell ref="AA2:AA15"/>
    <mergeCell ref="L17:L22"/>
    <mergeCell ref="S17:S22"/>
    <mergeCell ref="AA17:AA22"/>
  </mergeCells>
  <dataValidations>
    <dataValidation type="list" allowBlank="1" showErrorMessage="1" sqref="A15">
      <formula1>"Amorela,Candela,Gisela,Julieta,Laura,Mark,Maru,Micaela,Nacho,Pablo,Paloma,Ryan,Sofía,Victoria,Yazmín,TOTAL POR TURNO,Gabriel,Mariana,Thiago,Mía"</formula1>
    </dataValidation>
    <dataValidation type="list" allowBlank="1" showErrorMessage="1" sqref="A16 A23:A24">
      <formula1>"Amorela,Candela,Gisela,Julieta,Laura,Mark,Maru,Micaela,Nacho,Pablo,Paloma,Ryan,Sofía,Victoria,Yazmín,TOTAL POR TURNO,Total semanal"</formula1>
    </dataValidation>
    <dataValidation type="list" allowBlank="1" showErrorMessage="1" sqref="A2:A14 A17:A22">
      <formula1>"Amorela,Candela,Gisela,Julieta,Laura,Mark,Maru,Micaela,Nacho,Pablo,Paloma,Ryan,Sofía,Victoria,Yazmín,TOTAL POR TURNO,Gabriel,Mariana,Thiago"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</cols>
  <sheetData>
    <row r="1" ht="30.75" customHeight="1">
      <c r="A1" s="101" t="s">
        <v>214</v>
      </c>
      <c r="B1" s="15"/>
      <c r="C1" s="15"/>
      <c r="D1" s="15"/>
      <c r="E1" s="15"/>
      <c r="F1" s="15"/>
      <c r="G1" s="16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ht="30.75" customHeight="1">
      <c r="A2" s="102" t="s">
        <v>8</v>
      </c>
      <c r="B2" s="103" t="s">
        <v>3</v>
      </c>
      <c r="C2" s="16"/>
      <c r="D2" s="104" t="s">
        <v>4</v>
      </c>
      <c r="E2" s="16"/>
      <c r="F2" s="105" t="s">
        <v>6</v>
      </c>
      <c r="G2" s="67" t="s">
        <v>215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</row>
    <row r="3" ht="30.75" customHeight="1">
      <c r="A3" s="87"/>
      <c r="B3" s="106"/>
      <c r="C3" s="107"/>
      <c r="D3" s="108"/>
      <c r="E3" s="108"/>
      <c r="F3" s="107"/>
      <c r="G3" s="108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ht="30.75" customHeight="1">
      <c r="A4" s="109"/>
      <c r="B4" s="106"/>
      <c r="C4" s="107"/>
      <c r="D4" s="108"/>
      <c r="E4" s="108"/>
      <c r="F4" s="107"/>
      <c r="G4" s="108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</row>
    <row r="5" ht="30.75" customHeight="1">
      <c r="A5" s="109"/>
      <c r="B5" s="106"/>
      <c r="C5" s="107"/>
      <c r="D5" s="108"/>
      <c r="E5" s="108"/>
      <c r="F5" s="107"/>
      <c r="G5" s="108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</row>
    <row r="6" ht="30.75" customHeight="1">
      <c r="A6" s="110" t="s">
        <v>7</v>
      </c>
      <c r="B6" s="106"/>
      <c r="C6" s="107"/>
      <c r="D6" s="108"/>
      <c r="E6" s="108"/>
      <c r="F6" s="107"/>
      <c r="G6" s="108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</row>
    <row r="7" ht="30.75" customHeight="1">
      <c r="A7" s="102"/>
      <c r="B7" s="106"/>
      <c r="C7" s="107"/>
      <c r="D7" s="108"/>
      <c r="E7" s="108"/>
      <c r="F7" s="107"/>
      <c r="G7" s="108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ht="30.75" customHeight="1">
      <c r="A8" s="87"/>
      <c r="B8" s="106"/>
      <c r="C8" s="107"/>
      <c r="D8" s="108"/>
      <c r="E8" s="108"/>
      <c r="F8" s="107"/>
      <c r="G8" s="108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ht="30.75" customHeight="1">
      <c r="A9" s="102" t="s">
        <v>216</v>
      </c>
      <c r="B9" s="106"/>
      <c r="C9" s="107"/>
      <c r="D9" s="108"/>
      <c r="E9" s="108"/>
      <c r="F9" s="107"/>
      <c r="G9" s="108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 ht="30.75" customHeight="1">
      <c r="A10" s="87"/>
      <c r="B10" s="106"/>
      <c r="C10" s="107"/>
      <c r="D10" s="108"/>
      <c r="E10" s="108"/>
      <c r="F10" s="107"/>
      <c r="G10" s="108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 ht="30.75" customHeight="1">
      <c r="A11" s="111"/>
      <c r="B11" s="106"/>
      <c r="C11" s="107"/>
      <c r="D11" s="108"/>
      <c r="E11" s="108"/>
      <c r="F11" s="107"/>
      <c r="G11" s="108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ht="30.75" customHeight="1">
      <c r="A12" s="87"/>
      <c r="B12" s="106"/>
      <c r="C12" s="107"/>
      <c r="D12" s="108"/>
      <c r="E12" s="108"/>
      <c r="F12" s="107"/>
      <c r="G12" s="108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 ht="30.75" customHeight="1">
      <c r="A13" s="111"/>
      <c r="B13" s="106"/>
      <c r="C13" s="107"/>
      <c r="D13" s="108"/>
      <c r="E13" s="108"/>
      <c r="F13" s="107"/>
      <c r="G13" s="108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ht="30.75" customHeight="1">
      <c r="A14" s="87"/>
      <c r="B14" s="106"/>
      <c r="C14" s="107"/>
      <c r="D14" s="108"/>
      <c r="E14" s="108"/>
      <c r="F14" s="107"/>
      <c r="G14" s="108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 ht="30.75" customHeight="1">
      <c r="A15" s="111"/>
      <c r="B15" s="107"/>
      <c r="C15" s="106"/>
      <c r="D15" s="108"/>
      <c r="E15" s="108"/>
      <c r="F15" s="107"/>
      <c r="G15" s="108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 ht="30.75" customHeight="1">
      <c r="A16" s="87"/>
      <c r="B16" s="107"/>
      <c r="C16" s="107"/>
      <c r="D16" s="108"/>
      <c r="E16" s="108"/>
      <c r="F16" s="107"/>
      <c r="G16" s="108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 ht="30.75" customHeight="1">
      <c r="A17" s="111"/>
      <c r="B17" s="107"/>
      <c r="C17" s="107"/>
      <c r="D17" s="108"/>
      <c r="E17" s="108"/>
      <c r="F17" s="107"/>
      <c r="G17" s="108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 ht="30.75" customHeight="1">
      <c r="A18" s="87"/>
      <c r="B18" s="107"/>
      <c r="C18" s="107"/>
      <c r="D18" s="108"/>
      <c r="E18" s="108"/>
      <c r="F18" s="107"/>
      <c r="G18" s="108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ht="30.75" customHeight="1">
      <c r="A19" s="111"/>
      <c r="B19" s="107"/>
      <c r="C19" s="107"/>
      <c r="D19" s="108"/>
      <c r="E19" s="108"/>
      <c r="F19" s="107"/>
      <c r="G19" s="108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ht="30.75" customHeight="1">
      <c r="A20" s="87"/>
      <c r="B20" s="107"/>
      <c r="C20" s="107"/>
      <c r="D20" s="108"/>
      <c r="E20" s="108"/>
      <c r="F20" s="107"/>
      <c r="G20" s="108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 ht="30.75" customHeight="1">
      <c r="A21" s="111"/>
      <c r="B21" s="107"/>
      <c r="C21" s="107"/>
      <c r="D21" s="108"/>
      <c r="E21" s="108"/>
      <c r="F21" s="107"/>
      <c r="G21" s="108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</row>
    <row r="22" ht="30.75" customHeight="1">
      <c r="A22" s="87"/>
      <c r="B22" s="107"/>
      <c r="C22" s="107"/>
      <c r="D22" s="108"/>
      <c r="E22" s="108"/>
      <c r="F22" s="107"/>
      <c r="G22" s="108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</row>
    <row r="23" ht="30.75" customHeight="1">
      <c r="A23" s="111"/>
      <c r="B23" s="107"/>
      <c r="C23" s="107"/>
      <c r="D23" s="108"/>
      <c r="E23" s="108"/>
      <c r="F23" s="107"/>
      <c r="G23" s="108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 ht="30.75" customHeight="1">
      <c r="A24" s="87"/>
      <c r="B24" s="107"/>
      <c r="C24" s="107"/>
      <c r="D24" s="108"/>
      <c r="E24" s="108"/>
      <c r="F24" s="107"/>
      <c r="G24" s="108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</row>
    <row r="25" ht="30.75" customHeight="1">
      <c r="A25" s="111"/>
      <c r="B25" s="107"/>
      <c r="C25" s="107"/>
      <c r="D25" s="108"/>
      <c r="E25" s="108"/>
      <c r="F25" s="107"/>
      <c r="G25" s="108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</row>
    <row r="26" ht="30.75" customHeight="1">
      <c r="A26" s="87"/>
      <c r="B26" s="107"/>
      <c r="C26" s="107"/>
      <c r="D26" s="108"/>
      <c r="E26" s="108"/>
      <c r="F26" s="107"/>
      <c r="G26" s="108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ht="30.75" customHeight="1">
      <c r="A27" s="111"/>
      <c r="B27" s="107"/>
      <c r="C27" s="107"/>
      <c r="D27" s="108"/>
      <c r="E27" s="108"/>
      <c r="F27" s="107"/>
      <c r="G27" s="108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</row>
    <row r="28" ht="30.75" customHeight="1">
      <c r="A28" s="87"/>
      <c r="B28" s="107"/>
      <c r="C28" s="107"/>
      <c r="D28" s="108"/>
      <c r="E28" s="108"/>
      <c r="F28" s="107"/>
      <c r="G28" s="108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</row>
    <row r="29" ht="30.75" customHeight="1">
      <c r="A29" s="109"/>
      <c r="B29" s="107"/>
      <c r="C29" s="107"/>
      <c r="D29" s="108"/>
      <c r="E29" s="108"/>
      <c r="F29" s="107"/>
      <c r="G29" s="108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 ht="30.75" customHeight="1">
      <c r="A30" s="109"/>
      <c r="B30" s="107"/>
      <c r="C30" s="107"/>
      <c r="D30" s="108"/>
      <c r="E30" s="108"/>
      <c r="F30" s="107"/>
      <c r="G30" s="108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</row>
    <row r="31" ht="30.75" customHeight="1">
      <c r="A31" s="111"/>
      <c r="B31" s="107"/>
      <c r="C31" s="107"/>
      <c r="D31" s="108"/>
      <c r="E31" s="108"/>
      <c r="F31" s="107"/>
      <c r="G31" s="108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 ht="30.75" customHeight="1">
      <c r="A32" s="87"/>
      <c r="B32" s="107"/>
      <c r="C32" s="107"/>
      <c r="D32" s="108"/>
      <c r="E32" s="108"/>
      <c r="F32" s="107"/>
      <c r="G32" s="108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</row>
    <row r="33" ht="30.75" customHeight="1">
      <c r="A33" s="111"/>
      <c r="B33" s="107"/>
      <c r="C33" s="107"/>
      <c r="D33" s="108"/>
      <c r="E33" s="108"/>
      <c r="F33" s="107"/>
      <c r="G33" s="108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</row>
    <row r="34" ht="30.75" customHeight="1">
      <c r="A34" s="87"/>
      <c r="B34" s="107"/>
      <c r="C34" s="107"/>
      <c r="D34" s="108"/>
      <c r="E34" s="108"/>
      <c r="F34" s="107"/>
      <c r="G34" s="108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</row>
    <row r="35" ht="30.75" customHeight="1">
      <c r="A35" s="111"/>
      <c r="B35" s="107"/>
      <c r="C35" s="107"/>
      <c r="D35" s="108"/>
      <c r="E35" s="108"/>
      <c r="F35" s="107"/>
      <c r="G35" s="108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</row>
    <row r="36" ht="30.75" customHeight="1">
      <c r="A36" s="87"/>
      <c r="B36" s="107"/>
      <c r="C36" s="107"/>
      <c r="D36" s="108"/>
      <c r="E36" s="108"/>
      <c r="F36" s="107"/>
      <c r="G36" s="108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</row>
    <row r="37" ht="30.75" customHeight="1">
      <c r="A37" s="111"/>
      <c r="B37" s="107"/>
      <c r="C37" s="107"/>
      <c r="D37" s="108"/>
      <c r="E37" s="108"/>
      <c r="F37" s="107"/>
      <c r="G37" s="108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</row>
    <row r="38" ht="30.75" customHeight="1">
      <c r="A38" s="87"/>
      <c r="B38" s="107"/>
      <c r="C38" s="107"/>
      <c r="D38" s="108"/>
      <c r="E38" s="108"/>
      <c r="F38" s="107"/>
      <c r="G38" s="108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</row>
    <row r="39" ht="30.75" customHeight="1">
      <c r="A39" s="111"/>
      <c r="B39" s="107"/>
      <c r="C39" s="107"/>
      <c r="D39" s="108"/>
      <c r="E39" s="108"/>
      <c r="F39" s="107"/>
      <c r="G39" s="108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</row>
    <row r="40" ht="30.75" customHeight="1">
      <c r="A40" s="87"/>
      <c r="B40" s="107"/>
      <c r="C40" s="107"/>
      <c r="D40" s="108"/>
      <c r="E40" s="108"/>
      <c r="F40" s="107"/>
      <c r="G40" s="108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 ht="30.75" customHeight="1">
      <c r="A41" s="111"/>
      <c r="B41" s="107"/>
      <c r="C41" s="107"/>
      <c r="D41" s="108"/>
      <c r="E41" s="108"/>
      <c r="F41" s="107"/>
      <c r="G41" s="108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</row>
    <row r="42" ht="30.75" customHeight="1">
      <c r="A42" s="87"/>
      <c r="B42" s="107"/>
      <c r="C42" s="107"/>
      <c r="D42" s="108"/>
      <c r="E42" s="108"/>
      <c r="F42" s="107"/>
      <c r="G42" s="108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</row>
    <row r="43" ht="30.75" customHeight="1">
      <c r="A43" s="111"/>
      <c r="B43" s="107"/>
      <c r="C43" s="107"/>
      <c r="D43" s="108"/>
      <c r="E43" s="108"/>
      <c r="F43" s="107"/>
      <c r="G43" s="108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 ht="30.75" customHeight="1">
      <c r="A44" s="87"/>
      <c r="B44" s="107"/>
      <c r="C44" s="107"/>
      <c r="D44" s="108"/>
      <c r="E44" s="108"/>
      <c r="F44" s="107"/>
      <c r="G44" s="108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</row>
    <row r="45" ht="30.75" customHeight="1">
      <c r="A45" s="111"/>
      <c r="B45" s="107"/>
      <c r="C45" s="107"/>
      <c r="D45" s="108"/>
      <c r="E45" s="108"/>
      <c r="F45" s="107"/>
      <c r="G45" s="108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 ht="30.75" customHeight="1">
      <c r="A46" s="87"/>
      <c r="B46" s="107"/>
      <c r="C46" s="107"/>
      <c r="D46" s="108"/>
      <c r="E46" s="108"/>
      <c r="F46" s="107"/>
      <c r="G46" s="108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</row>
    <row r="47" ht="30.75" customHeight="1">
      <c r="A47" s="111"/>
      <c r="B47" s="107"/>
      <c r="C47" s="107"/>
      <c r="D47" s="108"/>
      <c r="E47" s="108"/>
      <c r="F47" s="107"/>
      <c r="G47" s="108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 ht="30.75" customHeight="1">
      <c r="A48" s="87"/>
      <c r="B48" s="107"/>
      <c r="C48" s="107"/>
      <c r="D48" s="108"/>
      <c r="E48" s="108"/>
      <c r="F48" s="107"/>
      <c r="G48" s="108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</row>
    <row r="49" ht="30.75" customHeight="1">
      <c r="A49" s="111"/>
      <c r="B49" s="107"/>
      <c r="C49" s="107"/>
      <c r="D49" s="108"/>
      <c r="E49" s="108"/>
      <c r="F49" s="107"/>
      <c r="G49" s="108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 ht="30.75" customHeight="1">
      <c r="A50" s="87"/>
      <c r="B50" s="107"/>
      <c r="C50" s="107"/>
      <c r="D50" s="108"/>
      <c r="E50" s="108"/>
      <c r="F50" s="107"/>
      <c r="G50" s="108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</row>
    <row r="51" ht="30.75" customHeight="1">
      <c r="A51" s="111"/>
      <c r="B51" s="107"/>
      <c r="C51" s="107"/>
      <c r="D51" s="108"/>
      <c r="E51" s="108"/>
      <c r="F51" s="107"/>
      <c r="G51" s="108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</row>
    <row r="52" ht="30.75" customHeight="1">
      <c r="A52" s="87"/>
      <c r="B52" s="107"/>
      <c r="C52" s="107"/>
      <c r="D52" s="108"/>
      <c r="E52" s="108"/>
      <c r="F52" s="107"/>
      <c r="G52" s="108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 ht="30.75" customHeight="1">
      <c r="A53" s="111"/>
      <c r="B53" s="107"/>
      <c r="C53" s="107"/>
      <c r="D53" s="108"/>
      <c r="E53" s="108"/>
      <c r="F53" s="107"/>
      <c r="G53" s="108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 ht="30.75" customHeight="1">
      <c r="A54" s="87"/>
      <c r="B54" s="107"/>
      <c r="C54" s="107"/>
      <c r="D54" s="108"/>
      <c r="E54" s="108"/>
      <c r="F54" s="107"/>
      <c r="G54" s="108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 ht="30.75" customHeight="1">
      <c r="A55" s="111"/>
      <c r="B55" s="107"/>
      <c r="C55" s="107"/>
      <c r="D55" s="108"/>
      <c r="E55" s="108"/>
      <c r="F55" s="107"/>
      <c r="G55" s="108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</row>
    <row r="56" ht="30.75" customHeight="1">
      <c r="A56" s="87"/>
      <c r="B56" s="107"/>
      <c r="C56" s="107"/>
      <c r="D56" s="108"/>
      <c r="E56" s="108"/>
      <c r="F56" s="107"/>
      <c r="G56" s="108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</row>
    <row r="57" ht="30.75" customHeight="1">
      <c r="A57" s="111"/>
      <c r="B57" s="107"/>
      <c r="C57" s="107"/>
      <c r="D57" s="108"/>
      <c r="E57" s="108"/>
      <c r="F57" s="107"/>
      <c r="G57" s="108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</row>
    <row r="58" ht="30.75" customHeight="1">
      <c r="A58" s="87"/>
      <c r="B58" s="107"/>
      <c r="C58" s="107"/>
      <c r="D58" s="108"/>
      <c r="E58" s="108"/>
      <c r="F58" s="107"/>
      <c r="G58" s="108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</row>
    <row r="59" ht="30.75" customHeight="1">
      <c r="A59" s="111"/>
      <c r="B59" s="107"/>
      <c r="C59" s="107"/>
      <c r="D59" s="108"/>
      <c r="E59" s="108"/>
      <c r="F59" s="107"/>
      <c r="G59" s="108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</row>
    <row r="60" ht="30.75" customHeight="1">
      <c r="A60" s="87"/>
      <c r="B60" s="107"/>
      <c r="C60" s="107"/>
      <c r="D60" s="108"/>
      <c r="E60" s="108"/>
      <c r="F60" s="107"/>
      <c r="G60" s="108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</row>
    <row r="61">
      <c r="A61" s="11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</row>
    <row r="62" ht="30.75" customHeight="1">
      <c r="A62" s="113" t="s">
        <v>217</v>
      </c>
      <c r="B62" s="15"/>
      <c r="C62" s="15"/>
      <c r="D62" s="16"/>
      <c r="E62" s="114" t="s">
        <v>218</v>
      </c>
      <c r="F62" s="15"/>
      <c r="G62" s="16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 ht="30.75" customHeight="1">
      <c r="A63" s="115" t="s">
        <v>3</v>
      </c>
      <c r="B63" s="116"/>
      <c r="C63" s="15"/>
      <c r="D63" s="15"/>
      <c r="E63" s="15"/>
      <c r="F63" s="15"/>
      <c r="G63" s="16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</row>
    <row r="64" ht="30.75" customHeight="1">
      <c r="A64" s="115" t="s">
        <v>4</v>
      </c>
      <c r="B64" s="116"/>
      <c r="C64" s="15"/>
      <c r="D64" s="15"/>
      <c r="E64" s="15"/>
      <c r="F64" s="15"/>
      <c r="G64" s="16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</row>
    <row r="65" ht="30.75" customHeight="1">
      <c r="A65" s="115" t="s">
        <v>5</v>
      </c>
      <c r="B65" s="116"/>
      <c r="C65" s="15"/>
      <c r="D65" s="15"/>
      <c r="E65" s="15"/>
      <c r="F65" s="15"/>
      <c r="G65" s="16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</row>
    <row r="66" ht="30.75" customHeight="1">
      <c r="A66" s="115" t="s">
        <v>6</v>
      </c>
      <c r="B66" s="116"/>
      <c r="C66" s="15"/>
      <c r="D66" s="15"/>
      <c r="E66" s="15"/>
      <c r="F66" s="15"/>
      <c r="G66" s="16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</row>
    <row r="67" ht="30.75" customHeight="1">
      <c r="A67" s="115" t="s">
        <v>219</v>
      </c>
      <c r="B67" s="117"/>
      <c r="C67" s="15"/>
      <c r="D67" s="15"/>
      <c r="E67" s="15"/>
      <c r="F67" s="15"/>
      <c r="G67" s="16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</row>
    <row r="68">
      <c r="A68" s="11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</row>
    <row r="69">
      <c r="A69" s="11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</row>
    <row r="70">
      <c r="A70" s="11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</row>
    <row r="71">
      <c r="A71" s="11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>
      <c r="A72" s="11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</row>
    <row r="73">
      <c r="A73" s="11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</row>
    <row r="74">
      <c r="A74" s="11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>
      <c r="A75" s="11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</row>
    <row r="76">
      <c r="A76" s="11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</row>
    <row r="77">
      <c r="A77" s="11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</row>
    <row r="78">
      <c r="A78" s="11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</row>
    <row r="79">
      <c r="A79" s="11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</row>
    <row r="80">
      <c r="A80" s="11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</row>
    <row r="81">
      <c r="A81" s="11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</row>
    <row r="82">
      <c r="A82" s="11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</row>
    <row r="83">
      <c r="A83" s="11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>
      <c r="A84" s="11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</row>
    <row r="85">
      <c r="A85" s="11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>
      <c r="A86" s="11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</row>
    <row r="87">
      <c r="A87" s="11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</row>
    <row r="88">
      <c r="A88" s="11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</row>
    <row r="89">
      <c r="A89" s="11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</row>
    <row r="90">
      <c r="A90" s="11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</row>
    <row r="91">
      <c r="A91" s="11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</row>
    <row r="92">
      <c r="A92" s="11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</row>
    <row r="93">
      <c r="A93" s="11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</row>
    <row r="94">
      <c r="A94" s="11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</row>
    <row r="95">
      <c r="A95" s="11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</row>
    <row r="96">
      <c r="A96" s="11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</row>
    <row r="97">
      <c r="A97" s="11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</row>
    <row r="98">
      <c r="A98" s="11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</row>
    <row r="99">
      <c r="A99" s="11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</row>
    <row r="100">
      <c r="A100" s="11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</row>
    <row r="101">
      <c r="A101" s="11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</row>
    <row r="102">
      <c r="A102" s="11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</row>
    <row r="103">
      <c r="A103" s="11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</row>
    <row r="104">
      <c r="A104" s="11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>
      <c r="A105" s="11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</row>
    <row r="106">
      <c r="A106" s="11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</row>
    <row r="107">
      <c r="A107" s="11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</row>
    <row r="108">
      <c r="A108" s="11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</row>
    <row r="109">
      <c r="A109" s="11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</row>
    <row r="110">
      <c r="A110" s="11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</row>
    <row r="111">
      <c r="A111" s="11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</row>
    <row r="112">
      <c r="A112" s="11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</row>
    <row r="113">
      <c r="A113" s="11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</row>
    <row r="114">
      <c r="A114" s="11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</row>
    <row r="115">
      <c r="A115" s="11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</row>
    <row r="116">
      <c r="A116" s="11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</row>
    <row r="117">
      <c r="A117" s="11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</row>
    <row r="118">
      <c r="A118" s="11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</row>
    <row r="119">
      <c r="A119" s="11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</row>
    <row r="120">
      <c r="A120" s="11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</row>
    <row r="121">
      <c r="A121" s="11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</row>
    <row r="122">
      <c r="A122" s="11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</row>
    <row r="123">
      <c r="A123" s="11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</row>
    <row r="124">
      <c r="A124" s="11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</row>
    <row r="125">
      <c r="A125" s="11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</row>
    <row r="126">
      <c r="A126" s="11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</row>
    <row r="127">
      <c r="A127" s="11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</row>
    <row r="128">
      <c r="A128" s="11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</row>
    <row r="129">
      <c r="A129" s="11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</row>
    <row r="130">
      <c r="A130" s="11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</row>
    <row r="131">
      <c r="A131" s="11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</row>
    <row r="132">
      <c r="A132" s="11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</row>
    <row r="133">
      <c r="A133" s="11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</row>
    <row r="134">
      <c r="A134" s="11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</row>
    <row r="135">
      <c r="A135" s="11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</row>
    <row r="136">
      <c r="A136" s="11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</row>
    <row r="137">
      <c r="A137" s="11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</row>
    <row r="138">
      <c r="A138" s="11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</row>
    <row r="139">
      <c r="A139" s="11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</row>
    <row r="140">
      <c r="A140" s="11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</row>
    <row r="141">
      <c r="A141" s="11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</row>
    <row r="142">
      <c r="A142" s="11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</row>
    <row r="143">
      <c r="A143" s="11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</row>
    <row r="144">
      <c r="A144" s="11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</row>
    <row r="145">
      <c r="A145" s="11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</row>
    <row r="146">
      <c r="A146" s="11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</row>
    <row r="147">
      <c r="A147" s="11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</row>
    <row r="148">
      <c r="A148" s="11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</row>
    <row r="149">
      <c r="A149" s="11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</row>
    <row r="150">
      <c r="A150" s="11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</row>
    <row r="151">
      <c r="A151" s="11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</row>
    <row r="152">
      <c r="A152" s="11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</row>
    <row r="153">
      <c r="A153" s="11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</row>
    <row r="154">
      <c r="A154" s="11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</row>
    <row r="155">
      <c r="A155" s="11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</row>
    <row r="156">
      <c r="A156" s="11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</row>
    <row r="157">
      <c r="A157" s="11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</row>
    <row r="158">
      <c r="A158" s="11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</row>
    <row r="159">
      <c r="A159" s="11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</row>
    <row r="160">
      <c r="A160" s="11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</row>
    <row r="161">
      <c r="A161" s="11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</row>
    <row r="162">
      <c r="A162" s="11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</row>
    <row r="163">
      <c r="A163" s="11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</row>
    <row r="164">
      <c r="A164" s="11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</row>
    <row r="165">
      <c r="A165" s="11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</row>
    <row r="166">
      <c r="A166" s="11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</row>
    <row r="167">
      <c r="A167" s="11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</row>
    <row r="168">
      <c r="A168" s="11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</row>
    <row r="169">
      <c r="A169" s="11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</row>
    <row r="170">
      <c r="A170" s="11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</row>
    <row r="171">
      <c r="A171" s="11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</row>
    <row r="172">
      <c r="A172" s="11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</row>
    <row r="173">
      <c r="A173" s="11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</row>
    <row r="174">
      <c r="A174" s="11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</row>
    <row r="175">
      <c r="A175" s="11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</row>
    <row r="176">
      <c r="A176" s="11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</row>
    <row r="177">
      <c r="A177" s="11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</row>
    <row r="178">
      <c r="A178" s="11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</row>
    <row r="179">
      <c r="A179" s="11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</row>
    <row r="180">
      <c r="A180" s="11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</row>
    <row r="181">
      <c r="A181" s="11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</row>
    <row r="182">
      <c r="A182" s="11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</row>
    <row r="183">
      <c r="A183" s="11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</row>
    <row r="184">
      <c r="A184" s="11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</row>
    <row r="185">
      <c r="A185" s="11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</row>
    <row r="186">
      <c r="A186" s="11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</row>
    <row r="187">
      <c r="A187" s="11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</row>
    <row r="188">
      <c r="A188" s="11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</row>
    <row r="189">
      <c r="A189" s="11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</row>
    <row r="190">
      <c r="A190" s="11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</row>
    <row r="191">
      <c r="A191" s="11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</row>
    <row r="192">
      <c r="A192" s="11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</row>
    <row r="193">
      <c r="A193" s="11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</row>
    <row r="194">
      <c r="A194" s="11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</row>
    <row r="195">
      <c r="A195" s="11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</row>
    <row r="196">
      <c r="A196" s="11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</row>
    <row r="197">
      <c r="A197" s="11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</row>
    <row r="198">
      <c r="A198" s="11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</row>
    <row r="199">
      <c r="A199" s="11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</row>
    <row r="200">
      <c r="A200" s="11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</row>
    <row r="201">
      <c r="A201" s="11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</row>
    <row r="202">
      <c r="A202" s="11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</row>
    <row r="203">
      <c r="A203" s="11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</row>
    <row r="204">
      <c r="A204" s="11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</row>
    <row r="205">
      <c r="A205" s="11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</row>
    <row r="206">
      <c r="A206" s="11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</row>
    <row r="207">
      <c r="A207" s="11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</row>
    <row r="208">
      <c r="A208" s="11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</row>
    <row r="209">
      <c r="A209" s="11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</row>
    <row r="210">
      <c r="A210" s="11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</row>
    <row r="211">
      <c r="A211" s="11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</row>
    <row r="212">
      <c r="A212" s="11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</row>
    <row r="213">
      <c r="A213" s="11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</row>
    <row r="214">
      <c r="A214" s="11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</row>
    <row r="215">
      <c r="A215" s="11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</row>
    <row r="216">
      <c r="A216" s="11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</row>
    <row r="217">
      <c r="A217" s="11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</row>
    <row r="218">
      <c r="A218" s="11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</row>
    <row r="219">
      <c r="A219" s="11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</row>
    <row r="220">
      <c r="A220" s="11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</row>
    <row r="221">
      <c r="A221" s="11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</row>
    <row r="222">
      <c r="A222" s="11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</row>
    <row r="223">
      <c r="A223" s="11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</row>
    <row r="224">
      <c r="A224" s="11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</row>
    <row r="225">
      <c r="A225" s="11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</row>
    <row r="226">
      <c r="A226" s="11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</row>
    <row r="227">
      <c r="A227" s="11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</row>
    <row r="228">
      <c r="A228" s="11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</row>
    <row r="229">
      <c r="A229" s="11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</row>
    <row r="230">
      <c r="A230" s="11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</row>
    <row r="231">
      <c r="A231" s="11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</row>
    <row r="232">
      <c r="A232" s="11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</row>
    <row r="233">
      <c r="A233" s="11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</row>
    <row r="234">
      <c r="A234" s="11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</row>
    <row r="235">
      <c r="A235" s="11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</row>
    <row r="236">
      <c r="A236" s="11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</row>
    <row r="237">
      <c r="A237" s="11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</row>
    <row r="238">
      <c r="A238" s="11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</row>
    <row r="239">
      <c r="A239" s="11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</row>
    <row r="240">
      <c r="A240" s="11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</row>
    <row r="241">
      <c r="A241" s="11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</row>
    <row r="242">
      <c r="A242" s="11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</row>
    <row r="243">
      <c r="A243" s="11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</row>
    <row r="244">
      <c r="A244" s="11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</row>
    <row r="245">
      <c r="A245" s="11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</row>
    <row r="246">
      <c r="A246" s="11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</row>
    <row r="247">
      <c r="A247" s="11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</row>
    <row r="248">
      <c r="A248" s="11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</row>
    <row r="249">
      <c r="A249" s="11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</row>
    <row r="250">
      <c r="A250" s="11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</row>
    <row r="251">
      <c r="A251" s="11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</row>
    <row r="252">
      <c r="A252" s="11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</row>
    <row r="253">
      <c r="A253" s="11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</row>
    <row r="254">
      <c r="A254" s="11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</row>
    <row r="255">
      <c r="A255" s="11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</row>
    <row r="256">
      <c r="A256" s="11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</row>
    <row r="257">
      <c r="A257" s="11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</row>
    <row r="258">
      <c r="A258" s="11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</row>
    <row r="259">
      <c r="A259" s="11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</row>
    <row r="260">
      <c r="A260" s="11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</row>
    <row r="261">
      <c r="A261" s="11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</row>
    <row r="262">
      <c r="A262" s="11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</row>
    <row r="263">
      <c r="A263" s="11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</row>
    <row r="264">
      <c r="A264" s="11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</row>
    <row r="265">
      <c r="A265" s="11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</row>
    <row r="266">
      <c r="A266" s="11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</row>
    <row r="267">
      <c r="A267" s="11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</row>
    <row r="268">
      <c r="A268" s="11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</row>
    <row r="269">
      <c r="A269" s="11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</row>
    <row r="270">
      <c r="A270" s="11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</row>
    <row r="271">
      <c r="A271" s="11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</row>
    <row r="272">
      <c r="A272" s="11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</row>
    <row r="273">
      <c r="A273" s="11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</row>
    <row r="274">
      <c r="A274" s="11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</row>
    <row r="275">
      <c r="A275" s="11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</row>
    <row r="276">
      <c r="A276" s="11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</row>
    <row r="277">
      <c r="A277" s="11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</row>
    <row r="278">
      <c r="A278" s="11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</row>
    <row r="279">
      <c r="A279" s="11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</row>
    <row r="280">
      <c r="A280" s="11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</row>
    <row r="281">
      <c r="A281" s="11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</row>
    <row r="282">
      <c r="A282" s="11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</row>
    <row r="283">
      <c r="A283" s="11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</row>
    <row r="284">
      <c r="A284" s="11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</row>
    <row r="285">
      <c r="A285" s="11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</row>
    <row r="286">
      <c r="A286" s="11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</row>
    <row r="287">
      <c r="A287" s="11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</row>
    <row r="288">
      <c r="A288" s="11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</row>
    <row r="289">
      <c r="A289" s="11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</row>
    <row r="290">
      <c r="A290" s="11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</row>
    <row r="291">
      <c r="A291" s="11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</row>
    <row r="292">
      <c r="A292" s="11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</row>
    <row r="293">
      <c r="A293" s="11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</row>
    <row r="294">
      <c r="A294" s="11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>
      <c r="A295" s="11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>
      <c r="A296" s="11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</row>
    <row r="297">
      <c r="A297" s="11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</row>
    <row r="298">
      <c r="A298" s="11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</row>
    <row r="299">
      <c r="A299" s="11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</row>
    <row r="300">
      <c r="A300" s="11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</row>
    <row r="301">
      <c r="A301" s="11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</row>
    <row r="302">
      <c r="A302" s="11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</row>
    <row r="303">
      <c r="A303" s="11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</row>
    <row r="304">
      <c r="A304" s="11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</row>
    <row r="305">
      <c r="A305" s="11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</row>
    <row r="306">
      <c r="A306" s="11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>
      <c r="A307" s="11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</row>
    <row r="308">
      <c r="A308" s="11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</row>
    <row r="309">
      <c r="A309" s="11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</row>
    <row r="310">
      <c r="A310" s="11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</row>
    <row r="311">
      <c r="A311" s="11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</row>
    <row r="312">
      <c r="A312" s="11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</row>
    <row r="313">
      <c r="A313" s="11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</row>
    <row r="314">
      <c r="A314" s="11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</row>
    <row r="315">
      <c r="A315" s="11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</row>
    <row r="316">
      <c r="A316" s="11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</row>
    <row r="317">
      <c r="A317" s="11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</row>
    <row r="318">
      <c r="A318" s="11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</row>
    <row r="319">
      <c r="A319" s="11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</row>
    <row r="320">
      <c r="A320" s="11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</row>
    <row r="321">
      <c r="A321" s="11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</row>
    <row r="322">
      <c r="A322" s="11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</row>
    <row r="323">
      <c r="A323" s="11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</row>
    <row r="324">
      <c r="A324" s="11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</row>
    <row r="325">
      <c r="A325" s="11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</row>
    <row r="326">
      <c r="A326" s="11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</row>
    <row r="327">
      <c r="A327" s="11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</row>
    <row r="328">
      <c r="A328" s="11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</row>
    <row r="329">
      <c r="A329" s="11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</row>
    <row r="330">
      <c r="A330" s="11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</row>
    <row r="331">
      <c r="A331" s="11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</row>
    <row r="332">
      <c r="A332" s="11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</row>
    <row r="333">
      <c r="A333" s="11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</row>
    <row r="334">
      <c r="A334" s="11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</row>
    <row r="335">
      <c r="A335" s="11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</row>
    <row r="336">
      <c r="A336" s="11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</row>
    <row r="337">
      <c r="A337" s="11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</row>
    <row r="338">
      <c r="A338" s="11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</row>
    <row r="339">
      <c r="A339" s="11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</row>
    <row r="340">
      <c r="A340" s="11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</row>
    <row r="341">
      <c r="A341" s="11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</row>
    <row r="342">
      <c r="A342" s="11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</row>
    <row r="343">
      <c r="A343" s="11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</row>
    <row r="344">
      <c r="A344" s="11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</row>
    <row r="345">
      <c r="A345" s="11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</row>
    <row r="346">
      <c r="A346" s="11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</row>
    <row r="347">
      <c r="A347" s="11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</row>
    <row r="348">
      <c r="A348" s="11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</row>
    <row r="349">
      <c r="A349" s="11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</row>
    <row r="350">
      <c r="A350" s="11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</row>
    <row r="351">
      <c r="A351" s="11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</row>
    <row r="352">
      <c r="A352" s="11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</row>
    <row r="353">
      <c r="A353" s="11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</row>
    <row r="354">
      <c r="A354" s="11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</row>
    <row r="355">
      <c r="A355" s="11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</row>
    <row r="356">
      <c r="A356" s="11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</row>
    <row r="357">
      <c r="A357" s="11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</row>
    <row r="358">
      <c r="A358" s="11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</row>
    <row r="359">
      <c r="A359" s="11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</row>
    <row r="360">
      <c r="A360" s="11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</row>
    <row r="361">
      <c r="A361" s="11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</row>
    <row r="362">
      <c r="A362" s="11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</row>
    <row r="363">
      <c r="A363" s="11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</row>
    <row r="364">
      <c r="A364" s="11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</row>
    <row r="365">
      <c r="A365" s="11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</row>
    <row r="366">
      <c r="A366" s="11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</row>
    <row r="367">
      <c r="A367" s="11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</row>
    <row r="368">
      <c r="A368" s="11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</row>
    <row r="369">
      <c r="A369" s="11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</row>
    <row r="370">
      <c r="A370" s="11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</row>
    <row r="371">
      <c r="A371" s="11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</row>
    <row r="372">
      <c r="A372" s="11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</row>
    <row r="373">
      <c r="A373" s="11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</row>
    <row r="374">
      <c r="A374" s="11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</row>
    <row r="375">
      <c r="A375" s="11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</row>
    <row r="376">
      <c r="A376" s="11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</row>
    <row r="377">
      <c r="A377" s="11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</row>
    <row r="378">
      <c r="A378" s="11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</row>
    <row r="379">
      <c r="A379" s="11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</row>
    <row r="380">
      <c r="A380" s="11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</row>
    <row r="381">
      <c r="A381" s="11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</row>
    <row r="382">
      <c r="A382" s="11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</row>
    <row r="383">
      <c r="A383" s="11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</row>
    <row r="384">
      <c r="A384" s="11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</row>
    <row r="385">
      <c r="A385" s="11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</row>
    <row r="386">
      <c r="A386" s="11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</row>
    <row r="387">
      <c r="A387" s="11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</row>
    <row r="388">
      <c r="A388" s="11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</row>
    <row r="389">
      <c r="A389" s="11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</row>
    <row r="390">
      <c r="A390" s="11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</row>
    <row r="391">
      <c r="A391" s="11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</row>
    <row r="392">
      <c r="A392" s="11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</row>
    <row r="393">
      <c r="A393" s="11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</row>
    <row r="394">
      <c r="A394" s="11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</row>
    <row r="395">
      <c r="A395" s="11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</row>
    <row r="396">
      <c r="A396" s="11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</row>
    <row r="397">
      <c r="A397" s="11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</row>
    <row r="398">
      <c r="A398" s="11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</row>
    <row r="399">
      <c r="A399" s="11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</row>
    <row r="400">
      <c r="A400" s="11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</row>
    <row r="401">
      <c r="A401" s="11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</row>
    <row r="402">
      <c r="A402" s="11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</row>
    <row r="403">
      <c r="A403" s="11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</row>
    <row r="404">
      <c r="A404" s="11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</row>
    <row r="405">
      <c r="A405" s="11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</row>
    <row r="406">
      <c r="A406" s="11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</row>
    <row r="407">
      <c r="A407" s="11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</row>
    <row r="408">
      <c r="A408" s="11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</row>
    <row r="409">
      <c r="A409" s="11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</row>
    <row r="410">
      <c r="A410" s="11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</row>
    <row r="411">
      <c r="A411" s="11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</row>
    <row r="412">
      <c r="A412" s="11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</row>
    <row r="413">
      <c r="A413" s="11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</row>
    <row r="414">
      <c r="A414" s="11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</row>
    <row r="415">
      <c r="A415" s="11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</row>
    <row r="416">
      <c r="A416" s="11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</row>
    <row r="417">
      <c r="A417" s="11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</row>
    <row r="418">
      <c r="A418" s="11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</row>
    <row r="419">
      <c r="A419" s="11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</row>
    <row r="420">
      <c r="A420" s="11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</row>
    <row r="421">
      <c r="A421" s="11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</row>
    <row r="422">
      <c r="A422" s="11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</row>
    <row r="423">
      <c r="A423" s="11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</row>
    <row r="424">
      <c r="A424" s="11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</row>
    <row r="425">
      <c r="A425" s="11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</row>
    <row r="426">
      <c r="A426" s="11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</row>
    <row r="427">
      <c r="A427" s="11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</row>
    <row r="428">
      <c r="A428" s="11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</row>
    <row r="429">
      <c r="A429" s="11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</row>
    <row r="430">
      <c r="A430" s="11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</row>
    <row r="431">
      <c r="A431" s="11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</row>
    <row r="432">
      <c r="A432" s="11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</row>
    <row r="433">
      <c r="A433" s="11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</row>
    <row r="434">
      <c r="A434" s="11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</row>
    <row r="435">
      <c r="A435" s="11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</row>
    <row r="436">
      <c r="A436" s="11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</row>
    <row r="437">
      <c r="A437" s="11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</row>
    <row r="438">
      <c r="A438" s="11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</row>
    <row r="439">
      <c r="A439" s="11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</row>
    <row r="440">
      <c r="A440" s="11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</row>
    <row r="441">
      <c r="A441" s="11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</row>
    <row r="442">
      <c r="A442" s="11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</row>
    <row r="443">
      <c r="A443" s="11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</row>
    <row r="444">
      <c r="A444" s="11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</row>
    <row r="445">
      <c r="A445" s="11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</row>
    <row r="446">
      <c r="A446" s="11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</row>
    <row r="447">
      <c r="A447" s="11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</row>
    <row r="448">
      <c r="A448" s="11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</row>
    <row r="449">
      <c r="A449" s="11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</row>
    <row r="450">
      <c r="A450" s="11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</row>
    <row r="451">
      <c r="A451" s="11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</row>
    <row r="452">
      <c r="A452" s="11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</row>
    <row r="453">
      <c r="A453" s="11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</row>
    <row r="454">
      <c r="A454" s="11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</row>
    <row r="455">
      <c r="A455" s="11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</row>
    <row r="456">
      <c r="A456" s="11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</row>
    <row r="457">
      <c r="A457" s="11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</row>
    <row r="458">
      <c r="A458" s="11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</row>
    <row r="459">
      <c r="A459" s="11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</row>
    <row r="460">
      <c r="A460" s="11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</row>
    <row r="461">
      <c r="A461" s="11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</row>
    <row r="462">
      <c r="A462" s="11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</row>
    <row r="463">
      <c r="A463" s="11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</row>
    <row r="464">
      <c r="A464" s="11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</row>
    <row r="465">
      <c r="A465" s="11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</row>
    <row r="466">
      <c r="A466" s="11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</row>
    <row r="467">
      <c r="A467" s="11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</row>
    <row r="468">
      <c r="A468" s="11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</row>
    <row r="469">
      <c r="A469" s="11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</row>
    <row r="470">
      <c r="A470" s="11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</row>
    <row r="471">
      <c r="A471" s="11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</row>
    <row r="472">
      <c r="A472" s="11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</row>
    <row r="473">
      <c r="A473" s="11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</row>
    <row r="474">
      <c r="A474" s="11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</row>
    <row r="475">
      <c r="A475" s="11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</row>
    <row r="476">
      <c r="A476" s="11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</row>
    <row r="477">
      <c r="A477" s="11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</row>
    <row r="478">
      <c r="A478" s="11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</row>
    <row r="479">
      <c r="A479" s="11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</row>
    <row r="480">
      <c r="A480" s="11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</row>
    <row r="481">
      <c r="A481" s="11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</row>
    <row r="482">
      <c r="A482" s="11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</row>
    <row r="483">
      <c r="A483" s="11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</row>
    <row r="484">
      <c r="A484" s="11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</row>
    <row r="485">
      <c r="A485" s="11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</row>
    <row r="486">
      <c r="A486" s="11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</row>
    <row r="487">
      <c r="A487" s="11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</row>
    <row r="488">
      <c r="A488" s="11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</row>
    <row r="489">
      <c r="A489" s="11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</row>
    <row r="490">
      <c r="A490" s="11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</row>
    <row r="491">
      <c r="A491" s="11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</row>
    <row r="492">
      <c r="A492" s="11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</row>
    <row r="493">
      <c r="A493" s="11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</row>
    <row r="494">
      <c r="A494" s="11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</row>
    <row r="495">
      <c r="A495" s="11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</row>
    <row r="496">
      <c r="A496" s="11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</row>
    <row r="497">
      <c r="A497" s="11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</row>
    <row r="498">
      <c r="A498" s="11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</row>
    <row r="499">
      <c r="A499" s="11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</row>
    <row r="500">
      <c r="A500" s="11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</row>
    <row r="501">
      <c r="A501" s="11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</row>
    <row r="502">
      <c r="A502" s="11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</row>
    <row r="503">
      <c r="A503" s="11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</row>
    <row r="504">
      <c r="A504" s="11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</row>
    <row r="505">
      <c r="A505" s="11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</row>
    <row r="506">
      <c r="A506" s="11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</row>
    <row r="507">
      <c r="A507" s="11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</row>
    <row r="508">
      <c r="A508" s="11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</row>
    <row r="509">
      <c r="A509" s="11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</row>
    <row r="510">
      <c r="A510" s="11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</row>
    <row r="511">
      <c r="A511" s="11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</row>
    <row r="512">
      <c r="A512" s="11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</row>
    <row r="513">
      <c r="A513" s="11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</row>
    <row r="514">
      <c r="A514" s="11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</row>
    <row r="515">
      <c r="A515" s="11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</row>
    <row r="516">
      <c r="A516" s="11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</row>
    <row r="517">
      <c r="A517" s="11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</row>
    <row r="518">
      <c r="A518" s="11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</row>
    <row r="519">
      <c r="A519" s="11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</row>
    <row r="520">
      <c r="A520" s="11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</row>
    <row r="521">
      <c r="A521" s="11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</row>
    <row r="522">
      <c r="A522" s="11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</row>
    <row r="523">
      <c r="A523" s="11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</row>
    <row r="524">
      <c r="A524" s="11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</row>
    <row r="525">
      <c r="A525" s="11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</row>
    <row r="526">
      <c r="A526" s="11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</row>
    <row r="527">
      <c r="A527" s="11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</row>
    <row r="528">
      <c r="A528" s="11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</row>
    <row r="529">
      <c r="A529" s="11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</row>
    <row r="530">
      <c r="A530" s="11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</row>
    <row r="531">
      <c r="A531" s="11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</row>
    <row r="532">
      <c r="A532" s="11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</row>
    <row r="533">
      <c r="A533" s="11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</row>
    <row r="534">
      <c r="A534" s="11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</row>
    <row r="535">
      <c r="A535" s="11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</row>
    <row r="536">
      <c r="A536" s="11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</row>
    <row r="537">
      <c r="A537" s="11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</row>
    <row r="538">
      <c r="A538" s="11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</row>
    <row r="539">
      <c r="A539" s="11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</row>
    <row r="540">
      <c r="A540" s="11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</row>
    <row r="541">
      <c r="A541" s="11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</row>
    <row r="542">
      <c r="A542" s="11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</row>
    <row r="543">
      <c r="A543" s="11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</row>
    <row r="544">
      <c r="A544" s="11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</row>
    <row r="545">
      <c r="A545" s="11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</row>
    <row r="546">
      <c r="A546" s="11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</row>
    <row r="547">
      <c r="A547" s="11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</row>
    <row r="548">
      <c r="A548" s="11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</row>
    <row r="549">
      <c r="A549" s="11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</row>
    <row r="550">
      <c r="A550" s="11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</row>
    <row r="551">
      <c r="A551" s="11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</row>
    <row r="552">
      <c r="A552" s="11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</row>
    <row r="553">
      <c r="A553" s="11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</row>
    <row r="554">
      <c r="A554" s="11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</row>
    <row r="555">
      <c r="A555" s="11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</row>
    <row r="556">
      <c r="A556" s="11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</row>
    <row r="557">
      <c r="A557" s="11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</row>
    <row r="558">
      <c r="A558" s="11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</row>
    <row r="559">
      <c r="A559" s="11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</row>
    <row r="560">
      <c r="A560" s="11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</row>
    <row r="561">
      <c r="A561" s="11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</row>
    <row r="562">
      <c r="A562" s="11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</row>
    <row r="563">
      <c r="A563" s="11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</row>
    <row r="564">
      <c r="A564" s="11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</row>
    <row r="565">
      <c r="A565" s="11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</row>
    <row r="566">
      <c r="A566" s="11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</row>
    <row r="567">
      <c r="A567" s="11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</row>
    <row r="568">
      <c r="A568" s="11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</row>
    <row r="569">
      <c r="A569" s="11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</row>
    <row r="570">
      <c r="A570" s="11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</row>
    <row r="571">
      <c r="A571" s="11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</row>
    <row r="572">
      <c r="A572" s="11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</row>
    <row r="573">
      <c r="A573" s="11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</row>
    <row r="574">
      <c r="A574" s="11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</row>
    <row r="575">
      <c r="A575" s="11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</row>
    <row r="576">
      <c r="A576" s="11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</row>
    <row r="577">
      <c r="A577" s="11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</row>
    <row r="578">
      <c r="A578" s="11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</row>
    <row r="579">
      <c r="A579" s="11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</row>
    <row r="580">
      <c r="A580" s="11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</row>
    <row r="581">
      <c r="A581" s="11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</row>
    <row r="582">
      <c r="A582" s="11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</row>
    <row r="583">
      <c r="A583" s="11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</row>
    <row r="584">
      <c r="A584" s="11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</row>
    <row r="585">
      <c r="A585" s="11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</row>
    <row r="586">
      <c r="A586" s="11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</row>
    <row r="587">
      <c r="A587" s="11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</row>
    <row r="588">
      <c r="A588" s="11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</row>
    <row r="589">
      <c r="A589" s="11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</row>
    <row r="590">
      <c r="A590" s="11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</row>
    <row r="591">
      <c r="A591" s="11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</row>
    <row r="592">
      <c r="A592" s="11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</row>
    <row r="593">
      <c r="A593" s="11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</row>
    <row r="594">
      <c r="A594" s="11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</row>
    <row r="595">
      <c r="A595" s="11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</row>
    <row r="596">
      <c r="A596" s="11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</row>
    <row r="597">
      <c r="A597" s="11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</row>
    <row r="598">
      <c r="A598" s="11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</row>
    <row r="599">
      <c r="A599" s="11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</row>
    <row r="600">
      <c r="A600" s="11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</row>
    <row r="601">
      <c r="A601" s="11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</row>
    <row r="602">
      <c r="A602" s="11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</row>
    <row r="603">
      <c r="A603" s="11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</row>
    <row r="604">
      <c r="A604" s="11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</row>
    <row r="605">
      <c r="A605" s="11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</row>
    <row r="606">
      <c r="A606" s="11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</row>
    <row r="607">
      <c r="A607" s="11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</row>
    <row r="608">
      <c r="A608" s="11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</row>
    <row r="609">
      <c r="A609" s="11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</row>
    <row r="610">
      <c r="A610" s="11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</row>
    <row r="611">
      <c r="A611" s="11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</row>
    <row r="612">
      <c r="A612" s="11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</row>
    <row r="613">
      <c r="A613" s="11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</row>
    <row r="614">
      <c r="A614" s="11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</row>
    <row r="615">
      <c r="A615" s="11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</row>
    <row r="616">
      <c r="A616" s="11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</row>
    <row r="617">
      <c r="A617" s="11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</row>
    <row r="618">
      <c r="A618" s="11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</row>
    <row r="619">
      <c r="A619" s="11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</row>
    <row r="620">
      <c r="A620" s="11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</row>
    <row r="621">
      <c r="A621" s="11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</row>
    <row r="622">
      <c r="A622" s="11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</row>
    <row r="623">
      <c r="A623" s="11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</row>
    <row r="624">
      <c r="A624" s="11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</row>
    <row r="625">
      <c r="A625" s="11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</row>
    <row r="626">
      <c r="A626" s="11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</row>
    <row r="627">
      <c r="A627" s="11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</row>
    <row r="628">
      <c r="A628" s="11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</row>
    <row r="629">
      <c r="A629" s="11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</row>
    <row r="630">
      <c r="A630" s="11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</row>
    <row r="631">
      <c r="A631" s="11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</row>
    <row r="632">
      <c r="A632" s="11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</row>
    <row r="633">
      <c r="A633" s="11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</row>
    <row r="634">
      <c r="A634" s="11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</row>
    <row r="635">
      <c r="A635" s="11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</row>
    <row r="636">
      <c r="A636" s="11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</row>
    <row r="637">
      <c r="A637" s="11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</row>
    <row r="638">
      <c r="A638" s="11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</row>
    <row r="639">
      <c r="A639" s="11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</row>
    <row r="640">
      <c r="A640" s="11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</row>
    <row r="641">
      <c r="A641" s="11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</row>
    <row r="642">
      <c r="A642" s="11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</row>
    <row r="643">
      <c r="A643" s="11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</row>
    <row r="644">
      <c r="A644" s="11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</row>
    <row r="645">
      <c r="A645" s="11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</row>
    <row r="646">
      <c r="A646" s="11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</row>
    <row r="647">
      <c r="A647" s="11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</row>
    <row r="648">
      <c r="A648" s="11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</row>
    <row r="649">
      <c r="A649" s="11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</row>
    <row r="650">
      <c r="A650" s="11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</row>
    <row r="651">
      <c r="A651" s="11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</row>
    <row r="652">
      <c r="A652" s="11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</row>
    <row r="653">
      <c r="A653" s="11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</row>
    <row r="654">
      <c r="A654" s="11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</row>
    <row r="655">
      <c r="A655" s="11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</row>
    <row r="656">
      <c r="A656" s="11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</row>
    <row r="657">
      <c r="A657" s="11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</row>
    <row r="658">
      <c r="A658" s="11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</row>
    <row r="659">
      <c r="A659" s="11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</row>
    <row r="660">
      <c r="A660" s="11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</row>
    <row r="661">
      <c r="A661" s="11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</row>
    <row r="662">
      <c r="A662" s="11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</row>
    <row r="663">
      <c r="A663" s="11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</row>
    <row r="664">
      <c r="A664" s="11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</row>
    <row r="665">
      <c r="A665" s="11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</row>
    <row r="666">
      <c r="A666" s="11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</row>
    <row r="667">
      <c r="A667" s="11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</row>
    <row r="668">
      <c r="A668" s="11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</row>
    <row r="669">
      <c r="A669" s="11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</row>
    <row r="670">
      <c r="A670" s="11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</row>
    <row r="671">
      <c r="A671" s="11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</row>
    <row r="672">
      <c r="A672" s="11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</row>
    <row r="673">
      <c r="A673" s="11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</row>
    <row r="674">
      <c r="A674" s="11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</row>
    <row r="675">
      <c r="A675" s="11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</row>
    <row r="676">
      <c r="A676" s="11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</row>
    <row r="677">
      <c r="A677" s="11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</row>
    <row r="678">
      <c r="A678" s="11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</row>
    <row r="679">
      <c r="A679" s="11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</row>
    <row r="680">
      <c r="A680" s="11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</row>
    <row r="681">
      <c r="A681" s="11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</row>
    <row r="682">
      <c r="A682" s="11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</row>
    <row r="683">
      <c r="A683" s="11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</row>
    <row r="684">
      <c r="A684" s="11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</row>
    <row r="685">
      <c r="A685" s="11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</row>
    <row r="686">
      <c r="A686" s="11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</row>
    <row r="687">
      <c r="A687" s="11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</row>
    <row r="688">
      <c r="A688" s="11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</row>
    <row r="689">
      <c r="A689" s="11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</row>
    <row r="690">
      <c r="A690" s="11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</row>
    <row r="691">
      <c r="A691" s="11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</row>
    <row r="692">
      <c r="A692" s="11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</row>
    <row r="693">
      <c r="A693" s="11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</row>
    <row r="694">
      <c r="A694" s="11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</row>
    <row r="695">
      <c r="A695" s="11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</row>
    <row r="696">
      <c r="A696" s="11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</row>
    <row r="697">
      <c r="A697" s="11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</row>
    <row r="698">
      <c r="A698" s="11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</row>
    <row r="699">
      <c r="A699" s="11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</row>
    <row r="700">
      <c r="A700" s="11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</row>
    <row r="701">
      <c r="A701" s="11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</row>
    <row r="702">
      <c r="A702" s="11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</row>
    <row r="703">
      <c r="A703" s="11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</row>
    <row r="704">
      <c r="A704" s="11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</row>
    <row r="705">
      <c r="A705" s="11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</row>
    <row r="706">
      <c r="A706" s="11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</row>
    <row r="707">
      <c r="A707" s="11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</row>
    <row r="708">
      <c r="A708" s="11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</row>
    <row r="709">
      <c r="A709" s="11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</row>
    <row r="710">
      <c r="A710" s="11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</row>
    <row r="711">
      <c r="A711" s="11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</row>
    <row r="712">
      <c r="A712" s="11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</row>
    <row r="713">
      <c r="A713" s="11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</row>
    <row r="714">
      <c r="A714" s="11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</row>
    <row r="715">
      <c r="A715" s="11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</row>
    <row r="716">
      <c r="A716" s="11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</row>
    <row r="717">
      <c r="A717" s="11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</row>
    <row r="718">
      <c r="A718" s="11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</row>
    <row r="719">
      <c r="A719" s="11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</row>
    <row r="720">
      <c r="A720" s="11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</row>
    <row r="721">
      <c r="A721" s="11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</row>
    <row r="722">
      <c r="A722" s="11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</row>
    <row r="723">
      <c r="A723" s="11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</row>
    <row r="724">
      <c r="A724" s="11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</row>
    <row r="725">
      <c r="A725" s="11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</row>
    <row r="726">
      <c r="A726" s="11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</row>
    <row r="727">
      <c r="A727" s="11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</row>
    <row r="728">
      <c r="A728" s="11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</row>
    <row r="729">
      <c r="A729" s="11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</row>
    <row r="730">
      <c r="A730" s="11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</row>
    <row r="731">
      <c r="A731" s="11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</row>
    <row r="732">
      <c r="A732" s="11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</row>
    <row r="733">
      <c r="A733" s="11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</row>
    <row r="734">
      <c r="A734" s="11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</row>
    <row r="735">
      <c r="A735" s="11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</row>
    <row r="736">
      <c r="A736" s="11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</row>
    <row r="737">
      <c r="A737" s="11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</row>
    <row r="738">
      <c r="A738" s="11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</row>
    <row r="739">
      <c r="A739" s="11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</row>
    <row r="740">
      <c r="A740" s="11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</row>
    <row r="741">
      <c r="A741" s="11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</row>
    <row r="742">
      <c r="A742" s="11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</row>
    <row r="743">
      <c r="A743" s="11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</row>
    <row r="744">
      <c r="A744" s="11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</row>
    <row r="745">
      <c r="A745" s="11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</row>
    <row r="746">
      <c r="A746" s="11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</row>
    <row r="747">
      <c r="A747" s="11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</row>
    <row r="748">
      <c r="A748" s="11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</row>
    <row r="749">
      <c r="A749" s="11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</row>
    <row r="750">
      <c r="A750" s="11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</row>
    <row r="751">
      <c r="A751" s="11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</row>
    <row r="752">
      <c r="A752" s="11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</row>
    <row r="753">
      <c r="A753" s="11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</row>
    <row r="754">
      <c r="A754" s="11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</row>
    <row r="755">
      <c r="A755" s="11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</row>
    <row r="756">
      <c r="A756" s="11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</row>
    <row r="757">
      <c r="A757" s="11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</row>
    <row r="758">
      <c r="A758" s="11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</row>
    <row r="759">
      <c r="A759" s="11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</row>
    <row r="760">
      <c r="A760" s="11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</row>
    <row r="761">
      <c r="A761" s="11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</row>
    <row r="762">
      <c r="A762" s="11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</row>
    <row r="763">
      <c r="A763" s="11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</row>
    <row r="764">
      <c r="A764" s="11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</row>
    <row r="765">
      <c r="A765" s="11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</row>
    <row r="766">
      <c r="A766" s="11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</row>
    <row r="767">
      <c r="A767" s="11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</row>
    <row r="768">
      <c r="A768" s="11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</row>
    <row r="769">
      <c r="A769" s="11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</row>
    <row r="770">
      <c r="A770" s="11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</row>
    <row r="771">
      <c r="A771" s="11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</row>
    <row r="772">
      <c r="A772" s="11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</row>
    <row r="773">
      <c r="A773" s="11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</row>
    <row r="774">
      <c r="A774" s="11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</row>
    <row r="775">
      <c r="A775" s="11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</row>
    <row r="776">
      <c r="A776" s="11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</row>
    <row r="777">
      <c r="A777" s="11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</row>
    <row r="778">
      <c r="A778" s="11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</row>
    <row r="779">
      <c r="A779" s="11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</row>
    <row r="780">
      <c r="A780" s="11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</row>
    <row r="781">
      <c r="A781" s="11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</row>
    <row r="782">
      <c r="A782" s="11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</row>
    <row r="783">
      <c r="A783" s="11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</row>
    <row r="784">
      <c r="A784" s="11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</row>
    <row r="785">
      <c r="A785" s="11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</row>
    <row r="786">
      <c r="A786" s="11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</row>
    <row r="787">
      <c r="A787" s="11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</row>
    <row r="788">
      <c r="A788" s="11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</row>
    <row r="789">
      <c r="A789" s="11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</row>
    <row r="790">
      <c r="A790" s="11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</row>
    <row r="791">
      <c r="A791" s="11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</row>
    <row r="792">
      <c r="A792" s="11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</row>
    <row r="793">
      <c r="A793" s="11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</row>
    <row r="794">
      <c r="A794" s="11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</row>
    <row r="795">
      <c r="A795" s="11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</row>
    <row r="796">
      <c r="A796" s="11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</row>
    <row r="797">
      <c r="A797" s="11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</row>
    <row r="798">
      <c r="A798" s="11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</row>
    <row r="799">
      <c r="A799" s="11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</row>
    <row r="800">
      <c r="A800" s="11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</row>
    <row r="801">
      <c r="A801" s="11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</row>
    <row r="802">
      <c r="A802" s="11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</row>
    <row r="803">
      <c r="A803" s="11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</row>
    <row r="804">
      <c r="A804" s="11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</row>
    <row r="805">
      <c r="A805" s="11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</row>
    <row r="806">
      <c r="A806" s="11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</row>
    <row r="807">
      <c r="A807" s="11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</row>
    <row r="808">
      <c r="A808" s="11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</row>
    <row r="809">
      <c r="A809" s="11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</row>
    <row r="810">
      <c r="A810" s="11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</row>
    <row r="811">
      <c r="A811" s="11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</row>
    <row r="812">
      <c r="A812" s="11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</row>
    <row r="813">
      <c r="A813" s="11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</row>
    <row r="814">
      <c r="A814" s="11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</row>
    <row r="815">
      <c r="A815" s="11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</row>
    <row r="816">
      <c r="A816" s="11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</row>
    <row r="817">
      <c r="A817" s="11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</row>
    <row r="818">
      <c r="A818" s="11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</row>
    <row r="819">
      <c r="A819" s="11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</row>
    <row r="820">
      <c r="A820" s="11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</row>
    <row r="821">
      <c r="A821" s="11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</row>
    <row r="822">
      <c r="A822" s="11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</row>
    <row r="823">
      <c r="A823" s="11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</row>
    <row r="824">
      <c r="A824" s="11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</row>
    <row r="825">
      <c r="A825" s="11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</row>
    <row r="826">
      <c r="A826" s="11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</row>
    <row r="827">
      <c r="A827" s="11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</row>
    <row r="828">
      <c r="A828" s="11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</row>
    <row r="829">
      <c r="A829" s="11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</row>
    <row r="830">
      <c r="A830" s="11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</row>
    <row r="831">
      <c r="A831" s="11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</row>
    <row r="832">
      <c r="A832" s="11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</row>
    <row r="833">
      <c r="A833" s="11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</row>
    <row r="834">
      <c r="A834" s="11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</row>
    <row r="835">
      <c r="A835" s="11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</row>
    <row r="836">
      <c r="A836" s="11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</row>
    <row r="837">
      <c r="A837" s="11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</row>
    <row r="838">
      <c r="A838" s="11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</row>
    <row r="839">
      <c r="A839" s="11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</row>
    <row r="840">
      <c r="A840" s="11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</row>
    <row r="841">
      <c r="A841" s="11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</row>
    <row r="842">
      <c r="A842" s="11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</row>
    <row r="843">
      <c r="A843" s="11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</row>
    <row r="844">
      <c r="A844" s="11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</row>
    <row r="845">
      <c r="A845" s="11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</row>
    <row r="846">
      <c r="A846" s="11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</row>
    <row r="847">
      <c r="A847" s="11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</row>
    <row r="848">
      <c r="A848" s="11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</row>
    <row r="849">
      <c r="A849" s="11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</row>
    <row r="850">
      <c r="A850" s="11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</row>
    <row r="851">
      <c r="A851" s="11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</row>
    <row r="852">
      <c r="A852" s="11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</row>
    <row r="853">
      <c r="A853" s="11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</row>
    <row r="854">
      <c r="A854" s="11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</row>
    <row r="855">
      <c r="A855" s="11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</row>
    <row r="856">
      <c r="A856" s="11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</row>
    <row r="857">
      <c r="A857" s="11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</row>
    <row r="858">
      <c r="A858" s="11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</row>
    <row r="859">
      <c r="A859" s="11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</row>
    <row r="860">
      <c r="A860" s="11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</row>
    <row r="861">
      <c r="A861" s="11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</row>
    <row r="862">
      <c r="A862" s="11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</row>
    <row r="863">
      <c r="A863" s="11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</row>
    <row r="864">
      <c r="A864" s="11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</row>
    <row r="865">
      <c r="A865" s="11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</row>
    <row r="866">
      <c r="A866" s="11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</row>
    <row r="867">
      <c r="A867" s="11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</row>
    <row r="868">
      <c r="A868" s="11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</row>
    <row r="869">
      <c r="A869" s="11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</row>
    <row r="870">
      <c r="A870" s="11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</row>
    <row r="871">
      <c r="A871" s="11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</row>
    <row r="872">
      <c r="A872" s="11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</row>
    <row r="873">
      <c r="A873" s="11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</row>
    <row r="874">
      <c r="A874" s="11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</row>
    <row r="875">
      <c r="A875" s="11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</row>
    <row r="876">
      <c r="A876" s="11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</row>
    <row r="877">
      <c r="A877" s="11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</row>
    <row r="878">
      <c r="A878" s="11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</row>
    <row r="879">
      <c r="A879" s="11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</row>
    <row r="880">
      <c r="A880" s="11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</row>
    <row r="881">
      <c r="A881" s="11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</row>
    <row r="882">
      <c r="A882" s="11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</row>
    <row r="883">
      <c r="A883" s="11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</row>
    <row r="884">
      <c r="A884" s="11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</row>
    <row r="885">
      <c r="A885" s="11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</row>
    <row r="886">
      <c r="A886" s="11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</row>
    <row r="887">
      <c r="A887" s="11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</row>
    <row r="888">
      <c r="A888" s="11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</row>
    <row r="889">
      <c r="A889" s="11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</row>
    <row r="890">
      <c r="A890" s="11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</row>
    <row r="891">
      <c r="A891" s="11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</row>
    <row r="892">
      <c r="A892" s="11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</row>
    <row r="893">
      <c r="A893" s="11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</row>
    <row r="894">
      <c r="A894" s="11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</row>
    <row r="895">
      <c r="A895" s="11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</row>
    <row r="896">
      <c r="A896" s="11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</row>
    <row r="897">
      <c r="A897" s="11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</row>
    <row r="898">
      <c r="A898" s="11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</row>
    <row r="899">
      <c r="A899" s="11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</row>
    <row r="900">
      <c r="A900" s="11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</row>
    <row r="901">
      <c r="A901" s="11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</row>
    <row r="902">
      <c r="A902" s="11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</row>
    <row r="903">
      <c r="A903" s="11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</row>
    <row r="904">
      <c r="A904" s="11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</row>
    <row r="905">
      <c r="A905" s="11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</row>
    <row r="906">
      <c r="A906" s="11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</row>
    <row r="907">
      <c r="A907" s="11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</row>
    <row r="908">
      <c r="A908" s="11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</row>
    <row r="909">
      <c r="A909" s="11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</row>
    <row r="910">
      <c r="A910" s="11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</row>
    <row r="911">
      <c r="A911" s="11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</row>
    <row r="912">
      <c r="A912" s="11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</row>
    <row r="913">
      <c r="A913" s="11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</row>
    <row r="914">
      <c r="A914" s="11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</row>
    <row r="915">
      <c r="A915" s="11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</row>
    <row r="916">
      <c r="A916" s="11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</row>
    <row r="917">
      <c r="A917" s="11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</row>
    <row r="918">
      <c r="A918" s="11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</row>
    <row r="919">
      <c r="A919" s="11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</row>
    <row r="920">
      <c r="A920" s="11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</row>
    <row r="921">
      <c r="A921" s="11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</row>
    <row r="922">
      <c r="A922" s="11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</row>
    <row r="923">
      <c r="A923" s="11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</row>
    <row r="924">
      <c r="A924" s="11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</row>
    <row r="925">
      <c r="A925" s="11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</row>
    <row r="926">
      <c r="A926" s="11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</row>
    <row r="927">
      <c r="A927" s="11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</row>
    <row r="928">
      <c r="A928" s="11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</row>
    <row r="929">
      <c r="A929" s="11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</row>
    <row r="930">
      <c r="A930" s="11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</row>
    <row r="931">
      <c r="A931" s="11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</row>
    <row r="932">
      <c r="A932" s="11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</row>
    <row r="933">
      <c r="A933" s="11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</row>
    <row r="934">
      <c r="A934" s="11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</row>
    <row r="935">
      <c r="A935" s="11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</row>
    <row r="936">
      <c r="A936" s="11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</row>
    <row r="937">
      <c r="A937" s="11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</row>
    <row r="938">
      <c r="A938" s="11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</row>
    <row r="939">
      <c r="A939" s="11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</row>
    <row r="940">
      <c r="A940" s="11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</row>
    <row r="941">
      <c r="A941" s="11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</row>
    <row r="942">
      <c r="A942" s="11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</row>
    <row r="943">
      <c r="A943" s="11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</row>
    <row r="944">
      <c r="A944" s="11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</row>
    <row r="945">
      <c r="A945" s="11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</row>
    <row r="946">
      <c r="A946" s="11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</row>
    <row r="947">
      <c r="A947" s="11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</row>
    <row r="948">
      <c r="A948" s="11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</row>
    <row r="949">
      <c r="A949" s="11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</row>
    <row r="950">
      <c r="A950" s="11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</row>
    <row r="951">
      <c r="A951" s="11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</row>
    <row r="952">
      <c r="A952" s="11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</row>
    <row r="953">
      <c r="A953" s="11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</row>
    <row r="954">
      <c r="A954" s="11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</row>
    <row r="955">
      <c r="A955" s="11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</row>
    <row r="956">
      <c r="A956" s="11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</row>
    <row r="957">
      <c r="A957" s="11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</row>
    <row r="958">
      <c r="A958" s="11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</row>
    <row r="959">
      <c r="A959" s="11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</row>
    <row r="960">
      <c r="A960" s="11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</row>
    <row r="961">
      <c r="A961" s="11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</row>
    <row r="962">
      <c r="A962" s="11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</row>
    <row r="963">
      <c r="A963" s="11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</row>
    <row r="964">
      <c r="A964" s="11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</row>
    <row r="965">
      <c r="A965" s="11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</row>
    <row r="966">
      <c r="A966" s="11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</row>
    <row r="967">
      <c r="A967" s="11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</row>
    <row r="968">
      <c r="A968" s="11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</row>
    <row r="969">
      <c r="A969" s="11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</row>
    <row r="970">
      <c r="A970" s="11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</row>
    <row r="971">
      <c r="A971" s="11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</row>
    <row r="972">
      <c r="A972" s="11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</row>
    <row r="973">
      <c r="A973" s="11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</row>
    <row r="974">
      <c r="A974" s="11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</row>
    <row r="975">
      <c r="A975" s="11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</row>
    <row r="976">
      <c r="A976" s="11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</row>
    <row r="977">
      <c r="A977" s="11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</row>
    <row r="978">
      <c r="A978" s="11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</row>
    <row r="979">
      <c r="A979" s="11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</row>
    <row r="980">
      <c r="A980" s="11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</row>
    <row r="981">
      <c r="A981" s="11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</row>
    <row r="982">
      <c r="A982" s="11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</row>
    <row r="983">
      <c r="A983" s="11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</row>
    <row r="984">
      <c r="A984" s="11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</row>
    <row r="985">
      <c r="A985" s="11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</row>
    <row r="986">
      <c r="A986" s="11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</row>
    <row r="987">
      <c r="A987" s="11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</row>
    <row r="988">
      <c r="A988" s="11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</row>
    <row r="989">
      <c r="A989" s="11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</row>
    <row r="990">
      <c r="A990" s="11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</row>
    <row r="991">
      <c r="A991" s="11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</row>
    <row r="992">
      <c r="A992" s="11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</row>
    <row r="993">
      <c r="A993" s="11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</row>
    <row r="994">
      <c r="A994" s="11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</row>
    <row r="995">
      <c r="A995" s="11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</row>
    <row r="996">
      <c r="A996" s="11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</row>
    <row r="997">
      <c r="A997" s="11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</row>
    <row r="998">
      <c r="A998" s="11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</row>
    <row r="999">
      <c r="A999" s="11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</row>
    <row r="1000">
      <c r="A1000" s="11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</row>
    <row r="1001">
      <c r="A1001" s="11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</row>
    <row r="1002">
      <c r="A1002" s="11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</row>
    <row r="1003">
      <c r="A1003" s="11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</row>
    <row r="1004">
      <c r="A1004" s="11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</row>
    <row r="1005">
      <c r="A1005" s="11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</row>
    <row r="1006">
      <c r="A1006" s="11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</row>
    <row r="1007">
      <c r="A1007" s="11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</row>
    <row r="1008">
      <c r="A1008" s="11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</row>
    <row r="1009">
      <c r="A1009" s="11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</row>
    <row r="1010">
      <c r="A1010" s="112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</row>
    <row r="1011">
      <c r="A1011" s="112"/>
      <c r="B1011" s="62"/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</row>
    <row r="1012">
      <c r="A1012" s="112"/>
      <c r="B1012" s="62"/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</row>
    <row r="1013">
      <c r="A1013" s="112"/>
      <c r="B1013" s="62"/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</row>
    <row r="1014">
      <c r="A1014" s="112"/>
      <c r="B1014" s="62"/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</row>
    <row r="1015">
      <c r="A1015" s="112"/>
      <c r="B1015" s="62"/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</row>
    <row r="1016">
      <c r="A1016" s="112"/>
      <c r="B1016" s="62"/>
      <c r="C1016" s="62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</row>
    <row r="1017">
      <c r="A1017" s="112"/>
      <c r="B1017" s="62"/>
      <c r="C1017" s="62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</row>
    <row r="1018">
      <c r="A1018" s="112"/>
      <c r="B1018" s="62"/>
      <c r="C1018" s="62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</row>
    <row r="1019">
      <c r="A1019" s="112"/>
      <c r="B1019" s="62"/>
      <c r="C1019" s="62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</row>
    <row r="1020">
      <c r="A1020" s="112"/>
      <c r="B1020" s="62"/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</row>
    <row r="1021">
      <c r="A1021" s="112"/>
      <c r="B1021" s="62"/>
      <c r="C1021" s="62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</row>
    <row r="1022">
      <c r="A1022" s="112"/>
      <c r="B1022" s="62"/>
      <c r="C1022" s="62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</row>
    <row r="1023">
      <c r="A1023" s="112"/>
      <c r="B1023" s="62"/>
      <c r="C1023" s="62"/>
      <c r="D1023" s="62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</row>
    <row r="1024">
      <c r="A1024" s="112"/>
      <c r="B1024" s="62"/>
      <c r="C1024" s="62"/>
      <c r="D1024" s="62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</row>
    <row r="1025">
      <c r="A1025" s="112"/>
      <c r="B1025" s="62"/>
      <c r="C1025" s="62"/>
      <c r="D1025" s="62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</row>
    <row r="1026">
      <c r="A1026" s="112"/>
      <c r="B1026" s="62"/>
      <c r="C1026" s="62"/>
      <c r="D1026" s="62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</row>
    <row r="1027">
      <c r="A1027" s="112"/>
      <c r="B1027" s="62"/>
      <c r="C1027" s="62"/>
      <c r="D1027" s="62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</row>
    <row r="1028">
      <c r="A1028" s="112"/>
      <c r="B1028" s="62"/>
      <c r="C1028" s="62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</row>
    <row r="1029">
      <c r="A1029" s="112"/>
      <c r="B1029" s="62"/>
      <c r="C1029" s="62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</row>
    <row r="1030">
      <c r="A1030" s="112"/>
      <c r="B1030" s="62"/>
      <c r="C1030" s="62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</row>
    <row r="1031">
      <c r="A1031" s="112"/>
      <c r="B1031" s="62"/>
      <c r="C1031" s="62"/>
      <c r="D1031" s="62"/>
      <c r="E1031" s="62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2"/>
      <c r="AB1031" s="62"/>
    </row>
    <row r="1032">
      <c r="A1032" s="112"/>
      <c r="B1032" s="62"/>
      <c r="C1032" s="62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</row>
  </sheetData>
  <mergeCells count="37">
    <mergeCell ref="A1:G1"/>
    <mergeCell ref="A2:A3"/>
    <mergeCell ref="B2:C2"/>
    <mergeCell ref="D2:E2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B66:G66"/>
    <mergeCell ref="B67:G67"/>
    <mergeCell ref="A57:A58"/>
    <mergeCell ref="A59:A60"/>
    <mergeCell ref="A62:D62"/>
    <mergeCell ref="E62:G62"/>
    <mergeCell ref="B63:G63"/>
    <mergeCell ref="B64:G64"/>
    <mergeCell ref="B65:G6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0.75"/>
  </cols>
  <sheetData>
    <row r="1">
      <c r="A1" s="118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</row>
    <row r="2">
      <c r="A2" s="120" t="s">
        <v>8</v>
      </c>
      <c r="B2" s="16"/>
      <c r="C2" s="121" t="s">
        <v>3</v>
      </c>
      <c r="D2" s="2"/>
      <c r="E2" s="2"/>
      <c r="F2" s="2"/>
      <c r="G2" s="122"/>
      <c r="H2" s="123" t="s">
        <v>4</v>
      </c>
      <c r="I2" s="2"/>
      <c r="J2" s="122"/>
      <c r="K2" s="124" t="s">
        <v>220</v>
      </c>
      <c r="L2" s="124" t="s">
        <v>221</v>
      </c>
      <c r="M2" s="123" t="s">
        <v>215</v>
      </c>
      <c r="N2" s="2"/>
      <c r="O2" s="122"/>
      <c r="P2" s="125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>
      <c r="A3" s="126"/>
      <c r="B3" s="16"/>
      <c r="C3" s="127"/>
      <c r="D3" s="127"/>
      <c r="E3" s="127"/>
      <c r="F3" s="127"/>
      <c r="G3" s="128"/>
      <c r="H3" s="129"/>
      <c r="I3" s="129"/>
      <c r="J3" s="130"/>
      <c r="K3" s="127"/>
      <c r="L3" s="127"/>
      <c r="M3" s="131"/>
      <c r="N3" s="129"/>
      <c r="O3" s="132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</row>
    <row r="4">
      <c r="A4" s="133"/>
      <c r="B4" s="122"/>
      <c r="C4" s="134"/>
      <c r="D4" s="127"/>
      <c r="E4" s="127"/>
      <c r="F4" s="127"/>
      <c r="G4" s="128"/>
      <c r="H4" s="129"/>
      <c r="I4" s="129"/>
      <c r="J4" s="130"/>
      <c r="K4" s="134"/>
      <c r="L4" s="127"/>
      <c r="M4" s="131"/>
      <c r="N4" s="129"/>
      <c r="O4" s="132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</row>
    <row r="5">
      <c r="A5" s="4"/>
      <c r="B5" s="135"/>
      <c r="C5" s="127"/>
      <c r="D5" s="127"/>
      <c r="E5" s="127"/>
      <c r="F5" s="127"/>
      <c r="G5" s="128"/>
      <c r="H5" s="129"/>
      <c r="I5" s="129"/>
      <c r="J5" s="136"/>
      <c r="K5" s="127"/>
      <c r="L5" s="127"/>
      <c r="M5" s="131"/>
      <c r="N5" s="129"/>
      <c r="O5" s="12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</row>
    <row r="6">
      <c r="A6" s="120" t="s">
        <v>7</v>
      </c>
      <c r="B6" s="16"/>
      <c r="C6" s="127"/>
      <c r="D6" s="127"/>
      <c r="E6" s="127"/>
      <c r="F6" s="127"/>
      <c r="G6" s="128"/>
      <c r="H6" s="129"/>
      <c r="I6" s="129"/>
      <c r="J6" s="130"/>
      <c r="K6" s="127"/>
      <c r="L6" s="127"/>
      <c r="M6" s="131"/>
      <c r="N6" s="129"/>
      <c r="O6" s="12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</row>
    <row r="7">
      <c r="A7" s="137" t="s">
        <v>222</v>
      </c>
      <c r="B7" s="120" t="s">
        <v>23</v>
      </c>
      <c r="C7" s="127"/>
      <c r="D7" s="127"/>
      <c r="E7" s="127"/>
      <c r="F7" s="127"/>
      <c r="G7" s="128"/>
      <c r="H7" s="129"/>
      <c r="I7" s="129"/>
      <c r="J7" s="130"/>
      <c r="K7" s="127"/>
      <c r="L7" s="127"/>
      <c r="M7" s="131"/>
      <c r="N7" s="129"/>
      <c r="O7" s="12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</row>
    <row r="8">
      <c r="A8" s="138"/>
      <c r="B8" s="126"/>
      <c r="C8" s="127"/>
      <c r="D8" s="127"/>
      <c r="E8" s="127"/>
      <c r="F8" s="127"/>
      <c r="G8" s="128"/>
      <c r="H8" s="129"/>
      <c r="I8" s="129"/>
      <c r="J8" s="130"/>
      <c r="K8" s="134"/>
      <c r="L8" s="127"/>
      <c r="M8" s="131"/>
      <c r="N8" s="129"/>
      <c r="O8" s="12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</row>
    <row r="9">
      <c r="A9" s="138"/>
      <c r="B9" s="126"/>
      <c r="C9" s="127"/>
      <c r="D9" s="127"/>
      <c r="E9" s="127"/>
      <c r="F9" s="127"/>
      <c r="G9" s="128"/>
      <c r="H9" s="129"/>
      <c r="I9" s="129"/>
      <c r="J9" s="130"/>
      <c r="K9" s="134"/>
      <c r="L9" s="127"/>
      <c r="M9" s="131"/>
      <c r="N9" s="129"/>
      <c r="O9" s="12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</row>
    <row r="10">
      <c r="A10" s="138"/>
      <c r="B10" s="126"/>
      <c r="C10" s="127"/>
      <c r="D10" s="127"/>
      <c r="E10" s="127"/>
      <c r="F10" s="127"/>
      <c r="G10" s="128"/>
      <c r="H10" s="129"/>
      <c r="I10" s="129"/>
      <c r="J10" s="130"/>
      <c r="K10" s="127"/>
      <c r="L10" s="127"/>
      <c r="M10" s="131"/>
      <c r="N10" s="129"/>
      <c r="O10" s="12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</row>
    <row r="11">
      <c r="A11" s="138"/>
      <c r="B11" s="126"/>
      <c r="C11" s="127"/>
      <c r="D11" s="127"/>
      <c r="E11" s="127"/>
      <c r="F11" s="127"/>
      <c r="G11" s="128"/>
      <c r="H11" s="129"/>
      <c r="I11" s="129"/>
      <c r="J11" s="130"/>
      <c r="K11" s="127"/>
      <c r="L11" s="127"/>
      <c r="M11" s="131"/>
      <c r="N11" s="129"/>
      <c r="O11" s="12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</row>
    <row r="12">
      <c r="A12" s="138"/>
      <c r="B12" s="126"/>
      <c r="C12" s="127"/>
      <c r="D12" s="127"/>
      <c r="E12" s="127"/>
      <c r="F12" s="127"/>
      <c r="G12" s="128"/>
      <c r="H12" s="129"/>
      <c r="I12" s="129"/>
      <c r="J12" s="130"/>
      <c r="K12" s="127"/>
      <c r="L12" s="127"/>
      <c r="M12" s="131"/>
      <c r="N12" s="129"/>
      <c r="O12" s="12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</row>
    <row r="13">
      <c r="A13" s="138"/>
      <c r="B13" s="126"/>
      <c r="C13" s="127"/>
      <c r="D13" s="127"/>
      <c r="E13" s="127"/>
      <c r="F13" s="127"/>
      <c r="G13" s="128"/>
      <c r="H13" s="129"/>
      <c r="I13" s="129"/>
      <c r="J13" s="130"/>
      <c r="K13" s="127"/>
      <c r="L13" s="127"/>
      <c r="M13" s="131"/>
      <c r="N13" s="129"/>
      <c r="O13" s="12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</row>
    <row r="14">
      <c r="A14" s="138"/>
      <c r="B14" s="126"/>
      <c r="C14" s="127"/>
      <c r="D14" s="127"/>
      <c r="E14" s="127"/>
      <c r="F14" s="127"/>
      <c r="G14" s="128"/>
      <c r="H14" s="129"/>
      <c r="I14" s="129"/>
      <c r="J14" s="130"/>
      <c r="K14" s="127"/>
      <c r="L14" s="127"/>
      <c r="M14" s="131"/>
      <c r="N14" s="129"/>
      <c r="O14" s="12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</row>
    <row r="15">
      <c r="A15" s="138"/>
      <c r="B15" s="126"/>
      <c r="C15" s="127"/>
      <c r="D15" s="134"/>
      <c r="E15" s="127"/>
      <c r="F15" s="127"/>
      <c r="G15" s="128"/>
      <c r="H15" s="129"/>
      <c r="I15" s="129"/>
      <c r="J15" s="130"/>
      <c r="K15" s="127"/>
      <c r="L15" s="127"/>
      <c r="M15" s="131"/>
      <c r="N15" s="129"/>
      <c r="O15" s="12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</row>
    <row r="16">
      <c r="A16" s="138"/>
      <c r="B16" s="126"/>
      <c r="C16" s="127"/>
      <c r="D16" s="127"/>
      <c r="E16" s="127"/>
      <c r="F16" s="127"/>
      <c r="G16" s="128"/>
      <c r="H16" s="129"/>
      <c r="I16" s="129"/>
      <c r="J16" s="130"/>
      <c r="K16" s="127"/>
      <c r="L16" s="134"/>
      <c r="M16" s="131"/>
      <c r="N16" s="129"/>
      <c r="O16" s="12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</row>
    <row r="17">
      <c r="A17" s="138"/>
      <c r="B17" s="126"/>
      <c r="C17" s="127"/>
      <c r="D17" s="127"/>
      <c r="E17" s="127"/>
      <c r="F17" s="127"/>
      <c r="G17" s="128"/>
      <c r="H17" s="129"/>
      <c r="I17" s="129"/>
      <c r="J17" s="130"/>
      <c r="K17" s="127"/>
      <c r="L17" s="134"/>
      <c r="M17" s="131"/>
      <c r="N17" s="129"/>
      <c r="O17" s="12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</row>
    <row r="18">
      <c r="A18" s="138"/>
      <c r="B18" s="126"/>
      <c r="C18" s="127"/>
      <c r="D18" s="127"/>
      <c r="E18" s="127"/>
      <c r="F18" s="127"/>
      <c r="G18" s="128"/>
      <c r="H18" s="129"/>
      <c r="I18" s="129"/>
      <c r="J18" s="130"/>
      <c r="K18" s="127"/>
      <c r="L18" s="127"/>
      <c r="M18" s="131"/>
      <c r="N18" s="129"/>
      <c r="O18" s="12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</row>
    <row r="19">
      <c r="A19" s="138"/>
      <c r="B19" s="126"/>
      <c r="C19" s="127"/>
      <c r="D19" s="127"/>
      <c r="E19" s="127"/>
      <c r="F19" s="127"/>
      <c r="G19" s="128"/>
      <c r="H19" s="129"/>
      <c r="I19" s="129"/>
      <c r="J19" s="130"/>
      <c r="K19" s="127"/>
      <c r="L19" s="127"/>
      <c r="M19" s="131"/>
      <c r="N19" s="129"/>
      <c r="O19" s="12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</row>
    <row r="20">
      <c r="A20" s="138"/>
      <c r="B20" s="126"/>
      <c r="C20" s="127"/>
      <c r="D20" s="127"/>
      <c r="E20" s="127"/>
      <c r="F20" s="127"/>
      <c r="G20" s="128"/>
      <c r="H20" s="129"/>
      <c r="I20" s="129"/>
      <c r="J20" s="130"/>
      <c r="K20" s="127"/>
      <c r="L20" s="127"/>
      <c r="M20" s="131"/>
      <c r="N20" s="129"/>
      <c r="O20" s="12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</row>
    <row r="21">
      <c r="A21" s="138"/>
      <c r="B21" s="126"/>
      <c r="C21" s="127"/>
      <c r="D21" s="127"/>
      <c r="E21" s="127"/>
      <c r="F21" s="127"/>
      <c r="G21" s="128"/>
      <c r="H21" s="129"/>
      <c r="I21" s="129"/>
      <c r="J21" s="130"/>
      <c r="K21" s="127"/>
      <c r="L21" s="127"/>
      <c r="M21" s="131"/>
      <c r="N21" s="129"/>
      <c r="O21" s="12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</row>
    <row r="22">
      <c r="A22" s="138"/>
      <c r="B22" s="126"/>
      <c r="C22" s="127"/>
      <c r="D22" s="127"/>
      <c r="E22" s="127"/>
      <c r="F22" s="127"/>
      <c r="G22" s="128"/>
      <c r="H22" s="129"/>
      <c r="I22" s="129"/>
      <c r="J22" s="130"/>
      <c r="K22" s="127"/>
      <c r="L22" s="127"/>
      <c r="M22" s="131"/>
      <c r="N22" s="129"/>
      <c r="O22" s="12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</row>
    <row r="23">
      <c r="A23" s="138"/>
      <c r="B23" s="126"/>
      <c r="C23" s="127"/>
      <c r="D23" s="127"/>
      <c r="E23" s="127"/>
      <c r="F23" s="127"/>
      <c r="G23" s="128"/>
      <c r="H23" s="129"/>
      <c r="I23" s="129"/>
      <c r="J23" s="130"/>
      <c r="K23" s="127"/>
      <c r="L23" s="127"/>
      <c r="M23" s="131"/>
      <c r="N23" s="129"/>
      <c r="O23" s="12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</row>
    <row r="24">
      <c r="A24" s="138"/>
      <c r="B24" s="126"/>
      <c r="C24" s="127"/>
      <c r="D24" s="127"/>
      <c r="E24" s="127"/>
      <c r="F24" s="127"/>
      <c r="G24" s="128"/>
      <c r="H24" s="132"/>
      <c r="I24" s="129"/>
      <c r="J24" s="130"/>
      <c r="K24" s="127"/>
      <c r="L24" s="127"/>
      <c r="M24" s="131"/>
      <c r="N24" s="129"/>
      <c r="O24" s="12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</row>
    <row r="25">
      <c r="A25" s="138"/>
      <c r="B25" s="126"/>
      <c r="C25" s="127"/>
      <c r="D25" s="127"/>
      <c r="E25" s="127"/>
      <c r="F25" s="127"/>
      <c r="G25" s="128"/>
      <c r="H25" s="129"/>
      <c r="I25" s="129"/>
      <c r="J25" s="130"/>
      <c r="K25" s="127"/>
      <c r="L25" s="127"/>
      <c r="M25" s="131"/>
      <c r="N25" s="129"/>
      <c r="O25" s="12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</row>
    <row r="26">
      <c r="A26" s="138"/>
      <c r="B26" s="126"/>
      <c r="C26" s="127"/>
      <c r="D26" s="127"/>
      <c r="E26" s="127"/>
      <c r="F26" s="134"/>
      <c r="G26" s="128"/>
      <c r="H26" s="129"/>
      <c r="I26" s="129"/>
      <c r="J26" s="130"/>
      <c r="K26" s="127"/>
      <c r="L26" s="127"/>
      <c r="M26" s="131"/>
      <c r="N26" s="132"/>
      <c r="O26" s="12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</row>
    <row r="27">
      <c r="A27" s="119"/>
      <c r="B27" s="119"/>
      <c r="C27" s="119"/>
      <c r="D27" s="119"/>
      <c r="E27" s="119"/>
      <c r="F27" s="13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</row>
    <row r="28">
      <c r="A28" s="120" t="s">
        <v>217</v>
      </c>
      <c r="B28" s="16"/>
      <c r="C28" s="125"/>
      <c r="D28" s="140" t="s">
        <v>223</v>
      </c>
      <c r="E28" s="141">
        <f>B29+B30-SUM(B8:B26)+A3</f>
        <v>0</v>
      </c>
      <c r="F28" s="122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</row>
    <row r="29">
      <c r="A29" s="142" t="s">
        <v>224</v>
      </c>
      <c r="B29" s="143">
        <f>SUM(C3:G26)</f>
        <v>0</v>
      </c>
      <c r="C29" s="125"/>
      <c r="D29" s="82"/>
      <c r="E29" s="3"/>
      <c r="F29" s="144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</row>
    <row r="30">
      <c r="A30" s="145" t="s">
        <v>225</v>
      </c>
      <c r="B30" s="143">
        <f>SUM(K3:K26)</f>
        <v>0</v>
      </c>
      <c r="C30" s="125"/>
      <c r="D30" s="87"/>
      <c r="E30" s="4"/>
      <c r="F30" s="13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</row>
    <row r="31">
      <c r="A31" s="145" t="s">
        <v>4</v>
      </c>
      <c r="B31" s="143">
        <f>SUM(H3:J26)</f>
        <v>0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</row>
    <row r="32">
      <c r="A32" s="145" t="s">
        <v>5</v>
      </c>
      <c r="B32" s="143">
        <f>SUM(M3:O26)</f>
        <v>0</v>
      </c>
      <c r="C32" s="125"/>
      <c r="D32" s="146" t="s">
        <v>226</v>
      </c>
      <c r="E32" s="147"/>
      <c r="F32" s="122"/>
      <c r="G32" s="148"/>
      <c r="H32" s="125"/>
      <c r="I32" s="125"/>
      <c r="J32" s="125"/>
      <c r="K32" s="125"/>
      <c r="L32" s="125"/>
      <c r="M32" s="125"/>
      <c r="N32" s="125"/>
      <c r="O32" s="125"/>
      <c r="P32" s="125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</row>
    <row r="33">
      <c r="A33" s="145" t="s">
        <v>227</v>
      </c>
      <c r="B33" s="143">
        <f>SUM(L3:L26)</f>
        <v>0</v>
      </c>
      <c r="C33" s="125"/>
      <c r="D33" s="87"/>
      <c r="E33" s="4"/>
      <c r="F33" s="135"/>
      <c r="G33" s="148"/>
      <c r="H33" s="125"/>
      <c r="I33" s="125"/>
      <c r="J33" s="125"/>
      <c r="K33" s="125"/>
      <c r="L33" s="125"/>
      <c r="M33" s="125"/>
      <c r="N33" s="125"/>
      <c r="O33" s="125"/>
      <c r="P33" s="125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</row>
    <row r="34">
      <c r="A34" s="145" t="s">
        <v>219</v>
      </c>
      <c r="B34" s="143">
        <f>SUM(B29:B33)</f>
        <v>0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</row>
    <row r="35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</row>
    <row r="36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</row>
    <row r="37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</row>
    <row r="38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</row>
    <row r="39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</row>
    <row r="40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</row>
    <row r="4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</row>
    <row r="42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</row>
    <row r="43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</row>
    <row r="44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</row>
    <row r="45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</row>
    <row r="46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</row>
    <row r="47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</row>
    <row r="48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</row>
    <row r="49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</row>
    <row r="50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</row>
    <row r="5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</row>
    <row r="52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</row>
    <row r="5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</row>
    <row r="54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</row>
    <row r="5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</row>
    <row r="56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</row>
    <row r="57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</row>
    <row r="58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</row>
    <row r="59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</row>
    <row r="60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  <c r="AH989" s="119"/>
      <c r="AI989" s="119"/>
      <c r="AJ989" s="119"/>
      <c r="AK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19"/>
      <c r="AK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  <c r="AH991" s="119"/>
      <c r="AI991" s="119"/>
      <c r="AJ991" s="119"/>
      <c r="AK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19"/>
      <c r="AK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  <c r="AH993" s="119"/>
      <c r="AI993" s="119"/>
      <c r="AJ993" s="119"/>
      <c r="AK993" s="119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</row>
  </sheetData>
  <mergeCells count="13">
    <mergeCell ref="A6:B6"/>
    <mergeCell ref="A28:B28"/>
    <mergeCell ref="D28:D30"/>
    <mergeCell ref="E28:F30"/>
    <mergeCell ref="D32:D33"/>
    <mergeCell ref="E32:F33"/>
    <mergeCell ref="A1:O1"/>
    <mergeCell ref="A2:B2"/>
    <mergeCell ref="C2:G2"/>
    <mergeCell ref="H2:J2"/>
    <mergeCell ref="M2:O2"/>
    <mergeCell ref="A3:B3"/>
    <mergeCell ref="A4:B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3.38"/>
    <col customWidth="1" min="3" max="3" width="17.5"/>
    <col customWidth="1" min="4" max="4" width="18.13"/>
  </cols>
  <sheetData>
    <row r="1" ht="30.75" customHeight="1">
      <c r="A1" s="149" t="s">
        <v>214</v>
      </c>
      <c r="B1" s="15"/>
      <c r="C1" s="15"/>
      <c r="D1" s="15"/>
      <c r="E1" s="16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 ht="30.75" customHeight="1">
      <c r="A2" s="151" t="s">
        <v>21</v>
      </c>
      <c r="B2" s="151" t="s">
        <v>228</v>
      </c>
      <c r="C2" s="151" t="s">
        <v>23</v>
      </c>
      <c r="D2" s="152" t="s">
        <v>24</v>
      </c>
      <c r="E2" s="152" t="s">
        <v>229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ht="30.75" customHeight="1">
      <c r="A3" s="98"/>
      <c r="B3" s="98"/>
      <c r="C3" s="98"/>
      <c r="D3" s="98"/>
      <c r="E3" s="98"/>
    </row>
    <row r="4" ht="30.75" customHeight="1">
      <c r="A4" s="98"/>
      <c r="B4" s="98"/>
      <c r="C4" s="98"/>
      <c r="D4" s="98"/>
      <c r="E4" s="98"/>
    </row>
    <row r="5" ht="30.75" customHeight="1">
      <c r="A5" s="98"/>
      <c r="B5" s="98"/>
      <c r="C5" s="98"/>
      <c r="D5" s="98"/>
      <c r="E5" s="98"/>
    </row>
    <row r="6" ht="30.75" customHeight="1">
      <c r="A6" s="98"/>
      <c r="B6" s="98"/>
      <c r="C6" s="98"/>
      <c r="D6" s="98"/>
      <c r="E6" s="98"/>
    </row>
    <row r="7" ht="30.75" customHeight="1">
      <c r="A7" s="98"/>
      <c r="B7" s="98"/>
      <c r="C7" s="98"/>
      <c r="D7" s="98"/>
      <c r="E7" s="98"/>
    </row>
    <row r="8" ht="30.75" customHeight="1">
      <c r="A8" s="98"/>
      <c r="B8" s="98"/>
      <c r="C8" s="98"/>
      <c r="D8" s="98"/>
      <c r="E8" s="98"/>
    </row>
    <row r="9" ht="30.75" customHeight="1">
      <c r="A9" s="98"/>
      <c r="B9" s="98"/>
      <c r="C9" s="98"/>
      <c r="D9" s="98"/>
      <c r="E9" s="98"/>
    </row>
    <row r="10" ht="30.75" customHeight="1">
      <c r="A10" s="98"/>
      <c r="B10" s="98"/>
      <c r="C10" s="98"/>
      <c r="D10" s="98"/>
      <c r="E10" s="98"/>
    </row>
    <row r="11" ht="30.75" customHeight="1">
      <c r="A11" s="98"/>
      <c r="B11" s="98"/>
      <c r="C11" s="98"/>
      <c r="D11" s="98"/>
      <c r="E11" s="98"/>
    </row>
    <row r="12" ht="30.75" customHeight="1">
      <c r="A12" s="98"/>
      <c r="B12" s="98"/>
      <c r="C12" s="98"/>
      <c r="D12" s="98"/>
      <c r="E12" s="98"/>
    </row>
    <row r="13" ht="30.75" customHeight="1">
      <c r="A13" s="98"/>
      <c r="B13" s="98"/>
      <c r="C13" s="98"/>
      <c r="D13" s="98"/>
      <c r="E13" s="98"/>
    </row>
    <row r="14" ht="30.75" customHeight="1">
      <c r="A14" s="98"/>
      <c r="B14" s="98"/>
      <c r="C14" s="98"/>
      <c r="D14" s="98"/>
      <c r="E14" s="98"/>
    </row>
    <row r="15" ht="30.75" customHeight="1">
      <c r="A15" s="98"/>
      <c r="B15" s="98"/>
      <c r="C15" s="98"/>
      <c r="D15" s="98"/>
      <c r="E15" s="98"/>
    </row>
    <row r="16" ht="30.75" customHeight="1">
      <c r="A16" s="98"/>
      <c r="B16" s="98"/>
      <c r="C16" s="98"/>
      <c r="D16" s="98"/>
      <c r="E16" s="98"/>
    </row>
    <row r="17" ht="30.75" customHeight="1">
      <c r="A17" s="98"/>
      <c r="B17" s="98"/>
      <c r="C17" s="98"/>
      <c r="D17" s="98"/>
      <c r="E17" s="98"/>
    </row>
    <row r="18" ht="30.75" customHeight="1">
      <c r="A18" s="98"/>
      <c r="B18" s="98"/>
      <c r="C18" s="98"/>
      <c r="D18" s="98"/>
      <c r="E18" s="98"/>
    </row>
    <row r="19" ht="30.75" customHeight="1">
      <c r="A19" s="98"/>
      <c r="B19" s="98"/>
      <c r="C19" s="98"/>
      <c r="D19" s="98"/>
      <c r="E19" s="98"/>
    </row>
    <row r="20" ht="30.75" customHeight="1">
      <c r="A20" s="98"/>
      <c r="B20" s="98"/>
      <c r="C20" s="98"/>
      <c r="D20" s="98"/>
      <c r="E20" s="98"/>
    </row>
    <row r="21" ht="30.75" customHeight="1">
      <c r="A21" s="98"/>
      <c r="B21" s="98"/>
      <c r="C21" s="98"/>
      <c r="D21" s="98"/>
      <c r="E21" s="98"/>
    </row>
    <row r="22" ht="30.75" customHeight="1">
      <c r="A22" s="98"/>
      <c r="B22" s="98"/>
      <c r="C22" s="98"/>
      <c r="D22" s="98"/>
      <c r="E22" s="98"/>
    </row>
    <row r="23" ht="30.75" customHeight="1">
      <c r="A23" s="98"/>
      <c r="B23" s="98"/>
      <c r="C23" s="98"/>
      <c r="D23" s="98"/>
      <c r="E23" s="98"/>
    </row>
  </sheetData>
  <mergeCells count="1">
    <mergeCell ref="A1:E1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7" max="8" width="25.88"/>
    <col customWidth="1" min="11" max="11" width="21.13"/>
    <col customWidth="1" min="12" max="12" width="24.38"/>
    <col customWidth="1" min="13" max="13" width="15.25"/>
    <col customWidth="1" min="14" max="14" width="28.63"/>
  </cols>
  <sheetData>
    <row r="2">
      <c r="A2" s="153" t="s">
        <v>226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  <c r="M2" s="154"/>
    </row>
    <row r="3">
      <c r="A3" s="156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8"/>
      <c r="M3" s="157"/>
    </row>
    <row r="5">
      <c r="A5" s="159" t="s">
        <v>1</v>
      </c>
      <c r="B5" s="159" t="s">
        <v>230</v>
      </c>
      <c r="C5" s="159" t="s">
        <v>231</v>
      </c>
      <c r="D5" s="159" t="s">
        <v>232</v>
      </c>
      <c r="E5" s="159" t="s">
        <v>233</v>
      </c>
      <c r="F5" s="159" t="s">
        <v>234</v>
      </c>
      <c r="G5" s="159"/>
      <c r="H5" s="159"/>
      <c r="I5" s="159" t="s">
        <v>235</v>
      </c>
      <c r="J5" s="159" t="s">
        <v>236</v>
      </c>
      <c r="K5" s="159" t="s">
        <v>237</v>
      </c>
      <c r="L5" s="159" t="s">
        <v>238</v>
      </c>
      <c r="M5" s="159" t="s">
        <v>239</v>
      </c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</row>
    <row r="6">
      <c r="A6" s="161">
        <v>45670.0</v>
      </c>
      <c r="B6" s="11">
        <v>320000.0</v>
      </c>
      <c r="C6" s="162">
        <v>1116490.0</v>
      </c>
      <c r="D6" s="13">
        <f>43150+13000+58000+26000+5000+60600+25000+46000</f>
        <v>276750</v>
      </c>
      <c r="E6" s="11"/>
      <c r="F6" s="11">
        <v>800000.0</v>
      </c>
      <c r="G6" s="11"/>
      <c r="H6" s="11"/>
      <c r="I6" s="11"/>
      <c r="J6" s="11"/>
      <c r="K6" s="13"/>
      <c r="L6" s="13">
        <f>B6+C6+I6-D6-F6-J6</f>
        <v>359740</v>
      </c>
      <c r="M6" s="13"/>
    </row>
    <row r="7">
      <c r="A7" s="161">
        <v>45671.0</v>
      </c>
      <c r="B7" s="13">
        <f t="shared" ref="B7:B9" si="1">L6</f>
        <v>359740</v>
      </c>
      <c r="C7" s="11">
        <v>908920.0</v>
      </c>
      <c r="D7" s="13">
        <f>50000+26000+252000</f>
        <v>328000</v>
      </c>
      <c r="E7" s="11"/>
      <c r="F7" s="11">
        <v>600000.0</v>
      </c>
      <c r="G7" s="11"/>
      <c r="H7" s="11"/>
      <c r="I7" s="11">
        <v>204000.0</v>
      </c>
      <c r="J7" s="13"/>
      <c r="K7" s="11">
        <v>13800.0</v>
      </c>
      <c r="L7" s="13">
        <f>C7+I7-D7-F7-J7+B7-K7</f>
        <v>530860</v>
      </c>
      <c r="M7" s="13"/>
      <c r="O7" s="163" t="s">
        <v>240</v>
      </c>
    </row>
    <row r="8">
      <c r="A8" s="161">
        <v>45672.0</v>
      </c>
      <c r="B8" s="13">
        <f t="shared" si="1"/>
        <v>530860</v>
      </c>
      <c r="C8" s="11">
        <v>860000.0</v>
      </c>
      <c r="D8" s="13">
        <f>100000+26000+58000+69150+252000+50600</f>
        <v>555750</v>
      </c>
      <c r="E8" s="11">
        <v>32000.0</v>
      </c>
      <c r="F8" s="13"/>
      <c r="G8" s="11"/>
      <c r="H8" s="11"/>
      <c r="I8" s="11">
        <v>155000.0</v>
      </c>
      <c r="J8" s="164">
        <v>462680.0</v>
      </c>
      <c r="K8" s="11">
        <v>570.0</v>
      </c>
      <c r="L8" s="13">
        <f>B8+C8+E8+I8-D8-F8-J8+K8</f>
        <v>560000</v>
      </c>
      <c r="M8" s="11">
        <v>7680.0</v>
      </c>
      <c r="O8" s="163" t="s">
        <v>241</v>
      </c>
    </row>
    <row r="9">
      <c r="A9" s="161">
        <v>45673.0</v>
      </c>
      <c r="B9" s="13">
        <f t="shared" si="1"/>
        <v>560000</v>
      </c>
      <c r="C9" s="165">
        <v>865940.0</v>
      </c>
      <c r="D9" s="13">
        <f>63000+25000+15600+42500+87600+17000</f>
        <v>250700</v>
      </c>
      <c r="E9" s="13"/>
      <c r="F9" s="11">
        <v>600000.0</v>
      </c>
      <c r="G9" s="11"/>
      <c r="H9" s="11"/>
      <c r="I9" s="11">
        <v>186000.0</v>
      </c>
      <c r="J9" s="13"/>
      <c r="K9" s="13"/>
      <c r="L9" s="13">
        <f>C9+I9-D9-F9-J9</f>
        <v>201240</v>
      </c>
      <c r="M9" s="13"/>
      <c r="O9" s="163" t="s">
        <v>242</v>
      </c>
    </row>
    <row r="10">
      <c r="A10" s="161">
        <v>45674.0</v>
      </c>
      <c r="B10" s="11">
        <v>439470.0</v>
      </c>
      <c r="C10" s="11">
        <v>336000.0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>
      <c r="A11" s="161">
        <v>45675.0</v>
      </c>
      <c r="B11" s="11">
        <v>259000.0</v>
      </c>
      <c r="C11" s="11">
        <v>280000.0</v>
      </c>
      <c r="D11" s="13"/>
      <c r="E11" s="13"/>
      <c r="F11" s="13"/>
      <c r="G11" s="13"/>
      <c r="H11" s="13"/>
      <c r="I11" s="13"/>
      <c r="J11" s="13"/>
      <c r="K11" s="13"/>
      <c r="L11" s="13">
        <f>C11+I11-D11-F11-J11</f>
        <v>280000</v>
      </c>
      <c r="M11" s="13"/>
    </row>
    <row r="16">
      <c r="J16" s="20">
        <f>L8-560000</f>
        <v>0</v>
      </c>
    </row>
    <row r="18">
      <c r="C18" s="166" t="s">
        <v>243</v>
      </c>
    </row>
    <row r="21">
      <c r="A21" s="159" t="s">
        <v>1</v>
      </c>
      <c r="B21" s="159" t="s">
        <v>230</v>
      </c>
      <c r="C21" s="159" t="s">
        <v>231</v>
      </c>
      <c r="D21" s="159" t="s">
        <v>232</v>
      </c>
      <c r="E21" s="159" t="s">
        <v>233</v>
      </c>
      <c r="F21" s="159" t="s">
        <v>234</v>
      </c>
      <c r="G21" s="159" t="s">
        <v>244</v>
      </c>
      <c r="H21" s="159" t="s">
        <v>245</v>
      </c>
      <c r="I21" s="159" t="s">
        <v>235</v>
      </c>
      <c r="J21" s="159" t="s">
        <v>236</v>
      </c>
      <c r="K21" s="159" t="s">
        <v>237</v>
      </c>
      <c r="L21" s="159" t="s">
        <v>246</v>
      </c>
      <c r="M21" s="159" t="s">
        <v>239</v>
      </c>
    </row>
    <row r="22">
      <c r="A22" s="161">
        <v>45677.0</v>
      </c>
      <c r="B22" s="167">
        <v>280000.0</v>
      </c>
      <c r="C22" s="162">
        <v>1070000.0</v>
      </c>
      <c r="D22" s="167">
        <v>240800.0</v>
      </c>
      <c r="E22" s="11"/>
      <c r="F22" s="11"/>
      <c r="G22" s="11"/>
      <c r="H22" s="11"/>
      <c r="I22" s="11">
        <v>130000.0</v>
      </c>
      <c r="J22" s="11"/>
      <c r="K22" s="11">
        <v>2000.0</v>
      </c>
      <c r="L22" s="167">
        <f>C22+K22+I22</f>
        <v>1202000</v>
      </c>
      <c r="M22" s="167">
        <v>39200.0</v>
      </c>
    </row>
    <row r="23">
      <c r="A23" s="161">
        <v>45678.0</v>
      </c>
      <c r="B23" s="167">
        <v>1202000.0</v>
      </c>
      <c r="C23" s="11">
        <v>700000.0</v>
      </c>
      <c r="D23" s="13">
        <f>500000+28000+152000+500000</f>
        <v>1180000</v>
      </c>
      <c r="E23" s="11"/>
      <c r="F23" s="11">
        <v>500000.0</v>
      </c>
      <c r="G23" s="11"/>
      <c r="H23" s="11"/>
      <c r="I23" s="11">
        <v>110000.0</v>
      </c>
      <c r="J23" s="13"/>
      <c r="K23" s="11"/>
      <c r="L23" s="168">
        <f>C23+I23</f>
        <v>810000</v>
      </c>
      <c r="M23" s="164">
        <v>32000.0</v>
      </c>
      <c r="N23" s="169" t="s">
        <v>247</v>
      </c>
    </row>
    <row r="24">
      <c r="A24" s="161">
        <v>45679.0</v>
      </c>
      <c r="B24" s="11">
        <v>810000.0</v>
      </c>
      <c r="C24" s="11">
        <v>840000.0</v>
      </c>
      <c r="D24" s="13">
        <f>601580</f>
        <v>601580</v>
      </c>
      <c r="E24" s="11"/>
      <c r="F24" s="13"/>
      <c r="G24" s="11">
        <v>840000.0</v>
      </c>
      <c r="H24" s="11">
        <v>276790.0</v>
      </c>
      <c r="I24" s="11">
        <v>73000.0</v>
      </c>
      <c r="J24" s="11">
        <v>37000.0</v>
      </c>
      <c r="K24" s="11"/>
      <c r="L24" s="167">
        <f>G24+I24-J24</f>
        <v>876000</v>
      </c>
      <c r="M24" s="11"/>
      <c r="N24" s="163" t="s">
        <v>248</v>
      </c>
    </row>
    <row r="25">
      <c r="A25" s="161">
        <v>45680.0</v>
      </c>
      <c r="B25" s="11">
        <v>876000.0</v>
      </c>
      <c r="C25" s="11">
        <v>345000.0</v>
      </c>
      <c r="D25" s="11">
        <v>448920.0</v>
      </c>
      <c r="E25" s="13"/>
      <c r="F25" s="11">
        <f>500000+400000</f>
        <v>900000</v>
      </c>
      <c r="G25" s="11">
        <v>27000.0</v>
      </c>
      <c r="H25" s="11"/>
      <c r="I25" s="11">
        <v>51000.0</v>
      </c>
      <c r="J25" s="11">
        <v>122000.0</v>
      </c>
      <c r="K25" s="13"/>
      <c r="L25" s="13"/>
      <c r="M25" s="13"/>
    </row>
    <row r="26">
      <c r="A26" s="161">
        <v>45681.0</v>
      </c>
      <c r="B26" s="11">
        <v>396000.0</v>
      </c>
      <c r="C26" s="11">
        <v>427000.0</v>
      </c>
      <c r="D26" s="11">
        <v>484500.0</v>
      </c>
      <c r="E26" s="13"/>
      <c r="F26" s="13"/>
      <c r="G26" s="11">
        <v>427000.0</v>
      </c>
      <c r="H26" s="11">
        <v>279560.0</v>
      </c>
      <c r="I26" s="11">
        <v>21000.0</v>
      </c>
      <c r="J26" s="11">
        <f>30000+37000+131000</f>
        <v>198000</v>
      </c>
      <c r="K26" s="13"/>
      <c r="L26" s="13">
        <f>G26-J26+I26</f>
        <v>250000</v>
      </c>
      <c r="M26" s="13"/>
    </row>
    <row r="27">
      <c r="A27" s="161">
        <v>45682.0</v>
      </c>
      <c r="B27" s="11">
        <v>21000.0</v>
      </c>
      <c r="C27" s="11"/>
      <c r="D27" s="11">
        <v>20700.0</v>
      </c>
      <c r="E27" s="13"/>
      <c r="F27" s="11">
        <v>100000.0</v>
      </c>
      <c r="G27" s="11">
        <v>510000.0</v>
      </c>
      <c r="H27" s="13"/>
      <c r="I27" s="13"/>
      <c r="J27" s="13"/>
      <c r="K27" s="13"/>
      <c r="L27" s="13"/>
      <c r="M27" s="13"/>
    </row>
    <row r="30">
      <c r="A30" s="110" t="s">
        <v>1</v>
      </c>
      <c r="B30" s="110" t="s">
        <v>249</v>
      </c>
      <c r="C30" s="110" t="s">
        <v>231</v>
      </c>
      <c r="D30" s="110" t="s">
        <v>232</v>
      </c>
      <c r="E30" s="110" t="s">
        <v>233</v>
      </c>
      <c r="F30" s="110" t="s">
        <v>234</v>
      </c>
      <c r="G30" s="110" t="s">
        <v>250</v>
      </c>
      <c r="H30" s="110" t="s">
        <v>251</v>
      </c>
      <c r="I30" s="110" t="s">
        <v>235</v>
      </c>
      <c r="J30" s="110" t="s">
        <v>252</v>
      </c>
      <c r="K30" s="170" t="s">
        <v>253</v>
      </c>
      <c r="L30" s="171"/>
      <c r="M30" s="17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173">
        <v>45684.0</v>
      </c>
      <c r="B31" s="174">
        <v>410000.0</v>
      </c>
      <c r="C31" s="175">
        <v>668000.0</v>
      </c>
      <c r="D31" s="176">
        <f>28000+200000+58000+20000+49500+52000</f>
        <v>407500</v>
      </c>
      <c r="E31" s="174"/>
      <c r="F31" s="174"/>
      <c r="G31" s="174">
        <f>B31+C31+E31-D31-F31</f>
        <v>670500</v>
      </c>
      <c r="H31" s="174">
        <f t="shared" ref="H31:H34" si="2">G31</f>
        <v>670500</v>
      </c>
      <c r="I31" s="174">
        <v>142000.0</v>
      </c>
      <c r="J31" s="174"/>
      <c r="K31" s="177">
        <f t="shared" ref="K31:K34" si="3">H31+I31-J31</f>
        <v>812500</v>
      </c>
      <c r="L31" s="178"/>
      <c r="M31" s="20"/>
    </row>
    <row r="32">
      <c r="A32" s="173">
        <v>45685.0</v>
      </c>
      <c r="B32" s="176">
        <f t="shared" ref="B32:B33" si="4">K31</f>
        <v>812500</v>
      </c>
      <c r="C32" s="174">
        <v>556000.0</v>
      </c>
      <c r="D32" s="174">
        <v>447500.0</v>
      </c>
      <c r="E32" s="174"/>
      <c r="F32" s="174"/>
      <c r="G32" s="174">
        <f>B32+C32-D32</f>
        <v>921000</v>
      </c>
      <c r="H32" s="174">
        <f t="shared" si="2"/>
        <v>921000</v>
      </c>
      <c r="I32" s="174">
        <v>121000.0</v>
      </c>
      <c r="J32" s="176"/>
      <c r="K32" s="179">
        <f t="shared" si="3"/>
        <v>1042000</v>
      </c>
      <c r="L32" s="178"/>
      <c r="M32" s="20"/>
    </row>
    <row r="33">
      <c r="A33" s="173">
        <v>45686.0</v>
      </c>
      <c r="B33" s="176">
        <f t="shared" si="4"/>
        <v>1042000</v>
      </c>
      <c r="C33" s="174">
        <v>850000.0</v>
      </c>
      <c r="D33" s="174">
        <v>717900.0</v>
      </c>
      <c r="E33" s="174"/>
      <c r="F33" s="174">
        <v>300000.0</v>
      </c>
      <c r="G33" s="174">
        <f t="shared" ref="G33:G35" si="5">B33+C33-D33-F33</f>
        <v>874100</v>
      </c>
      <c r="H33" s="174">
        <f t="shared" si="2"/>
        <v>874100</v>
      </c>
      <c r="I33" s="174">
        <v>109000.0</v>
      </c>
      <c r="J33" s="174">
        <v>550000.0</v>
      </c>
      <c r="K33" s="179">
        <f t="shared" si="3"/>
        <v>433100</v>
      </c>
      <c r="L33" s="178"/>
      <c r="M33" s="162"/>
    </row>
    <row r="34">
      <c r="A34" s="173">
        <v>45687.0</v>
      </c>
      <c r="B34" s="174">
        <v>433100.0</v>
      </c>
      <c r="C34" s="174">
        <v>657000.0</v>
      </c>
      <c r="D34" s="174">
        <v>291220.0</v>
      </c>
      <c r="E34" s="176"/>
      <c r="F34" s="174">
        <f>B34-D34</f>
        <v>141880</v>
      </c>
      <c r="G34" s="174">
        <f t="shared" si="5"/>
        <v>657000</v>
      </c>
      <c r="H34" s="174">
        <f t="shared" si="2"/>
        <v>657000</v>
      </c>
      <c r="I34" s="174">
        <v>132000.0</v>
      </c>
      <c r="J34" s="174">
        <v>27500.0</v>
      </c>
      <c r="K34" s="177">
        <f t="shared" si="3"/>
        <v>761500</v>
      </c>
      <c r="L34" s="178"/>
      <c r="M34" s="20"/>
    </row>
    <row r="35">
      <c r="A35" s="173">
        <v>45688.0</v>
      </c>
      <c r="B35" s="174">
        <f>K34</f>
        <v>761500</v>
      </c>
      <c r="C35" s="174">
        <f>600000+239000</f>
        <v>839000</v>
      </c>
      <c r="D35" s="176">
        <f>5000+336200</f>
        <v>341200</v>
      </c>
      <c r="E35" s="176"/>
      <c r="F35" s="174">
        <f>400000+20300+600000</f>
        <v>1020300</v>
      </c>
      <c r="G35" s="176">
        <f t="shared" si="5"/>
        <v>239000</v>
      </c>
      <c r="H35" s="176"/>
      <c r="I35" s="176"/>
      <c r="J35" s="176"/>
      <c r="K35" s="177"/>
      <c r="L35" s="178"/>
      <c r="M35" s="20"/>
    </row>
    <row r="36">
      <c r="A36" s="173">
        <v>45689.0</v>
      </c>
      <c r="B36" s="174"/>
      <c r="C36" s="174"/>
      <c r="D36" s="176"/>
      <c r="E36" s="176"/>
      <c r="F36" s="176"/>
      <c r="G36" s="176"/>
      <c r="H36" s="176"/>
      <c r="I36" s="176"/>
      <c r="J36" s="176"/>
      <c r="K36" s="177"/>
      <c r="L36" s="178"/>
      <c r="M36" s="20"/>
    </row>
  </sheetData>
  <drawing r:id="rId1"/>
</worksheet>
</file>